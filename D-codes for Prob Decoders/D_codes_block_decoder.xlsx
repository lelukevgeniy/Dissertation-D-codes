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вгений\Desktop\D-codes vs Goppa\"/>
    </mc:Choice>
  </mc:AlternateContent>
  <xr:revisionPtr revIDLastSave="0" documentId="13_ncr:1_{8530AD59-E6BE-4FCC-B2B2-E1479442DFE0}" xr6:coauthVersionLast="47" xr6:coauthVersionMax="47" xr10:uidLastSave="{00000000-0000-0000-0000-000000000000}"/>
  <bookViews>
    <workbookView xWindow="-110" yWindow="-110" windowWidth="38620" windowHeight="21100" xr2:uid="{274252C9-5287-46C6-9EBB-B7E7D48AEC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5" i="1" l="1"/>
  <c r="Y40" i="1"/>
  <c r="Z36" i="1"/>
  <c r="Z13" i="1"/>
  <c r="Z14" i="1"/>
  <c r="Z15" i="1"/>
  <c r="Z16" i="1"/>
  <c r="Z17" i="1"/>
  <c r="Z18" i="1"/>
  <c r="Z19" i="1"/>
  <c r="Z20" i="1"/>
  <c r="Z21" i="1"/>
  <c r="Z22" i="1"/>
  <c r="Z23" i="1"/>
  <c r="Z24" i="1"/>
  <c r="Z31" i="1"/>
  <c r="Z32" i="1"/>
  <c r="Z33" i="1"/>
  <c r="Z34" i="1"/>
  <c r="Z35" i="1"/>
  <c r="Z37" i="1"/>
  <c r="Z38" i="1"/>
  <c r="Z39" i="1"/>
  <c r="Z40" i="1"/>
  <c r="Z41" i="1"/>
  <c r="Z42" i="1"/>
  <c r="Z43" i="1"/>
  <c r="Z44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31" i="1"/>
  <c r="Y32" i="1"/>
  <c r="Y33" i="1"/>
  <c r="Y34" i="1"/>
  <c r="Y35" i="1"/>
  <c r="Y36" i="1"/>
  <c r="Y37" i="1"/>
  <c r="Y38" i="1"/>
  <c r="Y39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</calcChain>
</file>

<file path=xl/sharedStrings.xml><?xml version="1.0" encoding="utf-8"?>
<sst xmlns="http://schemas.openxmlformats.org/spreadsheetml/2006/main" count="783" uniqueCount="449">
  <si>
    <t>m1</t>
  </si>
  <si>
    <t>m2</t>
  </si>
  <si>
    <t>r2</t>
  </si>
  <si>
    <t>Код</t>
  </si>
  <si>
    <t>Всего блоков</t>
  </si>
  <si>
    <t>K</t>
  </si>
  <si>
    <t>P2</t>
  </si>
  <si>
    <t>sec_lvl</t>
  </si>
  <si>
    <t>Количество экспериментов декодера</t>
  </si>
  <si>
    <t>Максимальное кол-во плохих блоков</t>
  </si>
  <si>
    <t>DFR i=0</t>
  </si>
  <si>
    <t>DFR i=3</t>
  </si>
  <si>
    <t>DFR i=7</t>
  </si>
  <si>
    <t>Кол-во итераций для DFR=10^(-9)</t>
  </si>
  <si>
    <t>[(1, 2), (2, 1)]</t>
  </si>
  <si>
    <t>0.734</t>
  </si>
  <si>
    <t>0.3233</t>
  </si>
  <si>
    <t>153.87</t>
  </si>
  <si>
    <t>0.6313</t>
  </si>
  <si>
    <t>0.8301</t>
  </si>
  <si>
    <t>142.82</t>
  </si>
  <si>
    <t>Размер ключа, Мб</t>
  </si>
  <si>
    <t>[n, k, d]</t>
  </si>
  <si>
    <t>[16384,376,2048]</t>
  </si>
  <si>
    <t>[16384,414,2048]</t>
  </si>
  <si>
    <t>[(1, 2), (2, 1), (3, 0)]</t>
  </si>
  <si>
    <t>0.809</t>
  </si>
  <si>
    <t>0.2064</t>
  </si>
  <si>
    <t>140.55</t>
  </si>
  <si>
    <t>0.4634</t>
  </si>
  <si>
    <t>0.6617</t>
  </si>
  <si>
    <t>[16384,406,1024]</t>
  </si>
  <si>
    <t>[(0, 2), (3, 1)]</t>
  </si>
  <si>
    <t>0.793</t>
  </si>
  <si>
    <t>0.1995</t>
  </si>
  <si>
    <t>t_block</t>
  </si>
  <si>
    <t>137.8</t>
  </si>
  <si>
    <t>0.4572</t>
  </si>
  <si>
    <t>0.6558</t>
  </si>
  <si>
    <t>[(1, 2), (3, 1)]</t>
  </si>
  <si>
    <t>[8192,402,512]</t>
  </si>
  <si>
    <t>0.393</t>
  </si>
  <si>
    <t>0.4893</t>
  </si>
  <si>
    <t>0.8243</t>
  </si>
  <si>
    <t>0.9657</t>
  </si>
  <si>
    <t>[(1, 2), (4, 1)]</t>
  </si>
  <si>
    <t>[8192,603,256]</t>
  </si>
  <si>
    <t>0.589</t>
  </si>
  <si>
    <t>0.4186</t>
  </si>
  <si>
    <t>0.7402</t>
  </si>
  <si>
    <t>0.9156</t>
  </si>
  <si>
    <t>[16384,680,1024]</t>
  </si>
  <si>
    <t>1.328</t>
  </si>
  <si>
    <t>0.1528</t>
  </si>
  <si>
    <t>110.3</t>
  </si>
  <si>
    <t>0.3763</t>
  </si>
  <si>
    <t>0.5552</t>
  </si>
  <si>
    <t>[16384,476,1024]</t>
  </si>
  <si>
    <t>0.93</t>
  </si>
  <si>
    <t>0.4935</t>
  </si>
  <si>
    <t>185.96</t>
  </si>
  <si>
    <t>0.8251</t>
  </si>
  <si>
    <t>0.9642</t>
  </si>
  <si>
    <t>[(2, 3), (3, 0)]</t>
  </si>
  <si>
    <t>[8192,1498,256]</t>
  </si>
  <si>
    <t>1.463</t>
  </si>
  <si>
    <t>0.4878</t>
  </si>
  <si>
    <t>0.8265</t>
  </si>
  <si>
    <t>0.9645</t>
  </si>
  <si>
    <t>[(2, 3), (3, 1)]</t>
  </si>
  <si>
    <t>[8192,1578,256]</t>
  </si>
  <si>
    <t>1.541</t>
  </si>
  <si>
    <t>0.4880</t>
  </si>
  <si>
    <t>0.8238</t>
  </si>
  <si>
    <t>[16384,574,1024]</t>
  </si>
  <si>
    <t>1.121</t>
  </si>
  <si>
    <t>0.2072</t>
  </si>
  <si>
    <t>185.94</t>
  </si>
  <si>
    <t>0.4565</t>
  </si>
  <si>
    <t>0.6628</t>
  </si>
  <si>
    <t>[(2, 2), (3, 0)]</t>
  </si>
  <si>
    <t>[16384,876,1024]</t>
  </si>
  <si>
    <t>1.711</t>
  </si>
  <si>
    <t>0.1598</t>
  </si>
  <si>
    <t>143.04</t>
  </si>
  <si>
    <t>0.3660</t>
  </si>
  <si>
    <t>0.5648</t>
  </si>
  <si>
    <t>[(0, 2), (4, 1)]</t>
  </si>
  <si>
    <t>[16384,813,512]</t>
  </si>
  <si>
    <t>1.588</t>
  </si>
  <si>
    <t>0.1772</t>
  </si>
  <si>
    <t>0.3972</t>
  </si>
  <si>
    <t>132.47</t>
  </si>
  <si>
    <t>0.5871</t>
  </si>
  <si>
    <t>[32768,672,2048]</t>
  </si>
  <si>
    <t>2.625</t>
  </si>
  <si>
    <t>0.2126</t>
  </si>
  <si>
    <t>262.28</t>
  </si>
  <si>
    <t>0.4690</t>
  </si>
  <si>
    <t>0.6626</t>
  </si>
  <si>
    <t>265.61</t>
  </si>
  <si>
    <t>[(2, 3), (3, 2)]</t>
  </si>
  <si>
    <t>[8192,1858,256]</t>
  </si>
  <si>
    <t>1.814</t>
  </si>
  <si>
    <t>0.4883</t>
  </si>
  <si>
    <t>0.8288</t>
  </si>
  <si>
    <t>0.9667</t>
  </si>
  <si>
    <t>[(2, 2), (3, 1)]</t>
  </si>
  <si>
    <t>[16384,1121,1024]</t>
  </si>
  <si>
    <t>2.189</t>
  </si>
  <si>
    <t>0.1550</t>
  </si>
  <si>
    <t>184.58</t>
  </si>
  <si>
    <t>0.3624</t>
  </si>
  <si>
    <t>0.5592</t>
  </si>
  <si>
    <t>[16384,2066,512]</t>
  </si>
  <si>
    <t>4.035</t>
  </si>
  <si>
    <t>0.2090</t>
  </si>
  <si>
    <t>262.47</t>
  </si>
  <si>
    <t>0.4511</t>
  </si>
  <si>
    <t>[(2, 2), (5, 1)]</t>
  </si>
  <si>
    <t>[16384,1569,256]</t>
  </si>
  <si>
    <t>3.064</t>
  </si>
  <si>
    <t>0.3592</t>
  </si>
  <si>
    <t>262.40</t>
  </si>
  <si>
    <t>0.6908</t>
  </si>
  <si>
    <t>0.8802</t>
  </si>
  <si>
    <t>[32768,822,1024]</t>
  </si>
  <si>
    <t>3.211</t>
  </si>
  <si>
    <t>0.4184</t>
  </si>
  <si>
    <t>302.23</t>
  </si>
  <si>
    <t>0.7468</t>
  </si>
  <si>
    <t>0.9161</t>
  </si>
  <si>
    <t>[16384,2786,512]</t>
  </si>
  <si>
    <t>5.441</t>
  </si>
  <si>
    <t>0.2060</t>
  </si>
  <si>
    <t>302.32</t>
  </si>
  <si>
    <t>0.4562</t>
  </si>
  <si>
    <t>0.6560</t>
  </si>
  <si>
    <t>Goppa</t>
  </si>
  <si>
    <t>142.8</t>
  </si>
  <si>
    <t>1.13Mb</t>
  </si>
  <si>
    <t>185.92</t>
  </si>
  <si>
    <t>1.85Mb</t>
  </si>
  <si>
    <t>4.01Mb</t>
  </si>
  <si>
    <t>265.6</t>
  </si>
  <si>
    <t>4.49Mb</t>
  </si>
  <si>
    <t>302.21</t>
  </si>
  <si>
    <t>6.38Mb</t>
  </si>
  <si>
    <t>0.0177000000000000</t>
  </si>
  <si>
    <t>0.0141734551333498</t>
  </si>
  <si>
    <t>0.0105432688966399</t>
  </si>
  <si>
    <t>0.0109857991988640</t>
  </si>
  <si>
    <t>0.00582962026471345</t>
  </si>
  <si>
    <t>0.00887658924428936</t>
  </si>
  <si>
    <t>0.00355890327542263</t>
  </si>
  <si>
    <t>0.000136000000000025</t>
  </si>
  <si>
    <t>0.0000801336665242625</t>
  </si>
  <si>
    <t>0.0000395837093492002</t>
  </si>
  <si>
    <t>0.0000474680578171904</t>
  </si>
  <si>
    <t>0.0000116650033650245</t>
  </si>
  <si>
    <t>0.0000351246502127145</t>
  </si>
  <si>
    <t>5.77709453442043e-6</t>
  </si>
  <si>
    <t>0.000331999999999999</t>
  </si>
  <si>
    <t>0.000248103630256846</t>
  </si>
  <si>
    <t>0.000168251843947198</t>
  </si>
  <si>
    <t>0.000219436772299852</t>
  </si>
  <si>
    <t>0.000126339116968022</t>
  </si>
  <si>
    <t>0.000225844011771725</t>
  </si>
  <si>
    <t>0.000135114691680815</t>
  </si>
  <si>
    <t>0.000771999999999995</t>
  </si>
  <si>
    <t>0.000614811952814098</t>
  </si>
  <si>
    <t>0.000453846479931852</t>
  </si>
  <si>
    <t>0.000467624031441627</t>
  </si>
  <si>
    <t>0.000239664025778463</t>
  </si>
  <si>
    <t>0.000384887823685176</t>
  </si>
  <si>
    <t>0.000152156321676644</t>
  </si>
  <si>
    <t>0.00131199999999998</t>
  </si>
  <si>
    <t>0.00104512635645515</t>
  </si>
  <si>
    <t>0.000771810984767085</t>
  </si>
  <si>
    <t>0.000795228062159259</t>
  </si>
  <si>
    <t>0.000408092283759043</t>
  </si>
  <si>
    <t>0.000654760984316161</t>
  </si>
  <si>
    <t>0.000259466223415328</t>
  </si>
  <si>
    <t>0.0152139430516868</t>
  </si>
  <si>
    <t>0.0119980537410896</t>
  </si>
  <si>
    <t>0.00874355085978207</t>
  </si>
  <si>
    <t>0.00825333911730286</t>
  </si>
  <si>
    <t>0.00365815634478395</t>
  </si>
  <si>
    <t>0.00597492142093958</t>
  </si>
  <si>
    <t>0.00172823402183175</t>
  </si>
  <si>
    <t>0.0118627610579047</t>
  </si>
  <si>
    <t>0.00851540372774739</t>
  </si>
  <si>
    <t>0.00840745895691464</t>
  </si>
  <si>
    <t>0.00381903100987702</t>
  </si>
  <si>
    <t>0.00586247083978086</t>
  </si>
  <si>
    <t>0.00165384202670338</t>
  </si>
  <si>
    <t>0.0134641706121312</t>
  </si>
  <si>
    <t>0.0114414478731725</t>
  </si>
  <si>
    <t>0.0116035033267701</t>
  </si>
  <si>
    <t>0.00809123559883740</t>
  </si>
  <si>
    <t>0.0102611083542248</t>
  </si>
  <si>
    <t>0.00607931594028832</t>
  </si>
  <si>
    <t>0.0119554226887433</t>
  </si>
  <si>
    <t>0.00867128817934715</t>
  </si>
  <si>
    <t>0.00846177663106573</t>
  </si>
  <si>
    <t>0.00387667789383728</t>
  </si>
  <si>
    <t>0.00592789311082442</t>
  </si>
  <si>
    <t>0.00169689305445986</t>
  </si>
  <si>
    <t>0.0142190873876299</t>
  </si>
  <si>
    <t>0.0129937246158356</t>
  </si>
  <si>
    <t>0.0135656409567796</t>
  </si>
  <si>
    <t>0.0116441062738408</t>
  </si>
  <si>
    <t>0.0134201951085667</t>
  </si>
  <si>
    <t>0.0113552954258106</t>
  </si>
  <si>
    <t>0.0000360000000000360</t>
  </si>
  <si>
    <t>0.0000312803741915335</t>
  </si>
  <si>
    <t>0.0000259356930834009</t>
  </si>
  <si>
    <t>0.0000289556844007555</t>
  </si>
  <si>
    <t>0.0000216591934050214</t>
  </si>
  <si>
    <t>0.0000288104178993720</t>
  </si>
  <si>
    <t>0.0000214064984582762</t>
  </si>
  <si>
    <t>0.101924000000000</t>
  </si>
  <si>
    <t>0.0822859331630208</t>
  </si>
  <si>
    <t>0.0619723336544596</t>
  </si>
  <si>
    <t>0.0638493155555667</t>
  </si>
  <si>
    <t>0.0346264036192327</t>
  </si>
  <si>
    <t>0.0523810734396997</t>
  </si>
  <si>
    <t>0.0222180325671409</t>
  </si>
  <si>
    <t>0.269914000000000</t>
  </si>
  <si>
    <t>0.221187285862736</t>
  </si>
  <si>
    <t>0.170433338147745</t>
  </si>
  <si>
    <t>0.173867089643213</t>
  </si>
  <si>
    <t>0.0996732074727724</t>
  </si>
  <si>
    <t>0.146704658663063</t>
  </si>
  <si>
    <t>0.0697725621124057</t>
  </si>
  <si>
    <t>0.222705512112963</t>
  </si>
  <si>
    <t>0.173115100924639</t>
  </si>
  <si>
    <t>0.174956373070802</t>
  </si>
  <si>
    <t>0.101035750282678</t>
  </si>
  <si>
    <t>0.147570968567677</t>
  </si>
  <si>
    <t>0.0706204311336016</t>
  </si>
  <si>
    <t>262.22</t>
  </si>
  <si>
    <t>186.11</t>
  </si>
  <si>
    <t>197.24</t>
  </si>
  <si>
    <t>142.81</t>
  </si>
  <si>
    <t>0.00258800000000003</t>
  </si>
  <si>
    <t>0.00152528454479828</t>
  </si>
  <si>
    <t>0.000753803501956862</t>
  </si>
  <si>
    <t>0.000903891692946468</t>
  </si>
  <si>
    <t>0.000222539282887180</t>
  </si>
  <si>
    <t>0.000669103214246181</t>
  </si>
  <si>
    <t>0.000110478879332798</t>
  </si>
  <si>
    <t>0.241796000000000</t>
  </si>
  <si>
    <t>0.186506673898074</t>
  </si>
  <si>
    <t>0.133395205492382</t>
  </si>
  <si>
    <t>0.167347489288241</t>
  </si>
  <si>
    <t>0.105232683863005</t>
  </si>
  <si>
    <t>0.171715461438648</t>
  </si>
  <si>
    <t>0.111506805226211</t>
  </si>
  <si>
    <t>DFR i=0 теор.</t>
  </si>
  <si>
    <t>DFR i=3 теор.</t>
  </si>
  <si>
    <t>DFR i=7 теор.</t>
  </si>
  <si>
    <t>Кол-во итераций для DFR=10^(-9) теор.</t>
  </si>
  <si>
    <t>0.460008000000000</t>
  </si>
  <si>
    <t>0.413441880494902</t>
  </si>
  <si>
    <t>0.360480976399336</t>
  </si>
  <si>
    <t>0.391390950321723</t>
  </si>
  <si>
    <t>0.319718800610070</t>
  </si>
  <si>
    <t>0.389762904773525</t>
  </si>
  <si>
    <t>0.317038274107368</t>
  </si>
  <si>
    <t>0.00338000000000005</t>
  </si>
  <si>
    <t>0.00253480918999538</t>
  </si>
  <si>
    <t>0.00172709689459472</t>
  </si>
  <si>
    <t>0.00223234233117475</t>
  </si>
  <si>
    <t>0.00128396421747379</t>
  </si>
  <si>
    <t>0.00229896119875472</t>
  </si>
  <si>
    <t>0.00137515471729743</t>
  </si>
  <si>
    <t>0.000940000000000052</t>
  </si>
  <si>
    <t>0.000754115608696648</t>
  </si>
  <si>
    <t>0.000562148899765802</t>
  </si>
  <si>
    <t>0.000577908065545474</t>
  </si>
  <si>
    <t>0.000302111060372368</t>
  </si>
  <si>
    <t>0.000472312282499998</t>
  </si>
  <si>
    <t>0.000188667786488628</t>
  </si>
  <si>
    <t>0.00253449532924255</t>
  </si>
  <si>
    <t>0.00172659795338337</t>
  </si>
  <si>
    <t>0.00223558817917735</t>
  </si>
  <si>
    <t>0.00128832453315697</t>
  </si>
  <si>
    <t>0.000135991041381955</t>
  </si>
  <si>
    <t>0.0000801301259223397</t>
  </si>
  <si>
    <t>0.0000395835600922601</t>
  </si>
  <si>
    <t>0.0000474676296214893</t>
  </si>
  <si>
    <t>0.0000116667484491018</t>
  </si>
  <si>
    <t>0.0000351254799256795</t>
  </si>
  <si>
    <t>5.77915150734576e-6</t>
  </si>
  <si>
    <t>0.266197404439342</t>
  </si>
  <si>
    <t>0.218604244045073</t>
  </si>
  <si>
    <t>0.168989538987566</t>
  </si>
  <si>
    <t>0.00258675339237180</t>
  </si>
  <si>
    <t>0.00152479165049002</t>
  </si>
  <si>
    <t>0.000753782554646421</t>
  </si>
  <si>
    <t>0.000903831811502220</t>
  </si>
  <si>
    <t>0.000222782144249090</t>
  </si>
  <si>
    <t>0.000669218330444976</t>
  </si>
  <si>
    <t>0.000110765258131029</t>
  </si>
  <si>
    <t>0.0152101935343233</t>
  </si>
  <si>
    <t>0.0119954566044186</t>
  </si>
  <si>
    <t>0.00874206817123357</t>
  </si>
  <si>
    <t>0.00825205198690049</t>
  </si>
  <si>
    <t>0.00365826436970418</t>
  </si>
  <si>
    <t>0.00597440707243224</t>
  </si>
  <si>
    <t>0.00172881690108995</t>
  </si>
  <si>
    <t>0.000331946615788947</t>
  </si>
  <si>
    <t>0.000248074870785819</t>
  </si>
  <si>
    <t>0.000168245784566867</t>
  </si>
  <si>
    <t>0.000219416966040109</t>
  </si>
  <si>
    <t>0.000126345954723273</t>
  </si>
  <si>
    <t>0.000225822918766716</t>
  </si>
  <si>
    <t>0.000135120412673051</t>
  </si>
  <si>
    <t>0.000771706737235478</t>
  </si>
  <si>
    <t>0.000614617193044120</t>
  </si>
  <si>
    <t>0.000453748424630973</t>
  </si>
  <si>
    <t>0.000467521090377176</t>
  </si>
  <si>
    <t>0.000239688458680831</t>
  </si>
  <si>
    <t>0.000384837072777922</t>
  </si>
  <si>
    <t>0.000152227442093977</t>
  </si>
  <si>
    <t>0.00131315055150361</t>
  </si>
  <si>
    <t>0.00104589039866843</t>
  </si>
  <si>
    <t>0.000772195586752789</t>
  </si>
  <si>
    <t>0.000795631825404763</t>
  </si>
  <si>
    <t>0.000407996298336988</t>
  </si>
  <si>
    <t>0.000654959962818946</t>
  </si>
  <si>
    <t>0.000259187070931866</t>
  </si>
  <si>
    <t>0.0147200000000000</t>
  </si>
  <si>
    <t>0.0110481503356263</t>
  </si>
  <si>
    <t>0.00753955634150361</t>
  </si>
  <si>
    <t>0.00972735001501068</t>
  </si>
  <si>
    <t>0.00560616715967899</t>
  </si>
  <si>
    <t>0.0100198025961862</t>
  </si>
  <si>
    <t>0.00600664268127926</t>
  </si>
  <si>
    <t>0.00337447214674069</t>
  </si>
  <si>
    <t>0.00253180385287577</t>
  </si>
  <si>
    <t>0.00172642759446784</t>
  </si>
  <si>
    <t>0.00223029517839279</t>
  </si>
  <si>
    <t>0.00128467650192632</t>
  </si>
  <si>
    <t>0.00229677662212169</t>
  </si>
  <si>
    <t>0.00137574600883983</t>
  </si>
  <si>
    <t>0.00253149092101990</t>
  </si>
  <si>
    <t>0.00172593007073873</t>
  </si>
  <si>
    <t>0.00223353128629400</t>
  </si>
  <si>
    <t>0.00128902446377899</t>
  </si>
  <si>
    <t>0.000939565235104745</t>
  </si>
  <si>
    <t>0.000753822716108576</t>
  </si>
  <si>
    <t>0.000561996695404243</t>
  </si>
  <si>
    <t>0.000577749144087480</t>
  </si>
  <si>
    <t>0.000302140774267157</t>
  </si>
  <si>
    <t>0.000472234361146628</t>
  </si>
  <si>
    <t>0.000188771361797402</t>
  </si>
  <si>
    <t>0.0000359993621339427</t>
  </si>
  <si>
    <t>0.0000312798952706306</t>
  </si>
  <si>
    <t>0.0000259353926577166</t>
  </si>
  <si>
    <t>0.0000289552855894382</t>
  </si>
  <si>
    <t>0.0000216590393322669</t>
  </si>
  <si>
    <t>0.0000288100261536250</t>
  </si>
  <si>
    <t>0.0000214063577254064</t>
  </si>
  <si>
    <t>0.0118602117616244</t>
  </si>
  <si>
    <t>0.00851399715357459</t>
  </si>
  <si>
    <t>0.00840611939462255</t>
  </si>
  <si>
    <t>0.00381909517992063</t>
  </si>
  <si>
    <t>0.00586199299692347</t>
  </si>
  <si>
    <t>0.00165443818716249</t>
  </si>
  <si>
    <t>0.0134611498231147</t>
  </si>
  <si>
    <t>0.0114392594500694</t>
  </si>
  <si>
    <t>0.0116012573966414</t>
  </si>
  <si>
    <t>0.00809041042067316</t>
  </si>
  <si>
    <t>0.0102594230850047</t>
  </si>
  <si>
    <t>0.00607929619459191</t>
  </si>
  <si>
    <t>0.101421579714840</t>
  </si>
  <si>
    <t>0.0819438473334285</t>
  </si>
  <si>
    <t>0.0617899050519904</t>
  </si>
  <si>
    <t>0.0636573145610959</t>
  </si>
  <si>
    <t>0.0346500811893323</t>
  </si>
  <si>
    <t>0.0522831567042168</t>
  </si>
  <si>
    <t>0.0223291805247881</t>
  </si>
  <si>
    <t>0.0146746761382631</t>
  </si>
  <si>
    <t>0.0110234541206777</t>
  </si>
  <si>
    <t>0.00753396396638162</t>
  </si>
  <si>
    <t>0.00971052495362934</t>
  </si>
  <si>
    <t>0.00561191362519109</t>
  </si>
  <si>
    <t>0.0100018341592996</t>
  </si>
  <si>
    <t>0.00601137027557408</t>
  </si>
  <si>
    <t>0.0119528406330226</t>
  </si>
  <si>
    <t>0.00866982963734253</t>
  </si>
  <si>
    <t>0.00846041855866964</t>
  </si>
  <si>
    <t>0.00387672619343993</t>
  </si>
  <si>
    <t>0.00592739404386211</t>
  </si>
  <si>
    <t>0.00169748158938055</t>
  </si>
  <si>
    <t>0.0177039038395992</t>
  </si>
  <si>
    <t>0.0141759932191065</t>
  </si>
  <si>
    <t>0.0105444748586319</t>
  </si>
  <si>
    <t>0.0109871091303040</t>
  </si>
  <si>
    <t>0.00582919832511308</t>
  </si>
  <si>
    <t>0.00887708198949366</t>
  </si>
  <si>
    <t>0.00355777922323375</t>
  </si>
  <si>
    <t>0.0142157836770925</t>
  </si>
  <si>
    <t>0.0129909690564878</t>
  </si>
  <si>
    <t>CPU clocks decoder</t>
  </si>
  <si>
    <t>CPU clocks total эксп.</t>
  </si>
  <si>
    <t>CPU clocks total теор.</t>
  </si>
  <si>
    <t>keygen clocks</t>
  </si>
  <si>
    <t>key size</t>
  </si>
  <si>
    <t>encryption clocks</t>
  </si>
  <si>
    <t>decryption clocks</t>
  </si>
  <si>
    <t>0.0135626322165630</t>
  </si>
  <si>
    <t>0.0116419588389662</t>
  </si>
  <si>
    <t>DFR matrix decoder</t>
  </si>
  <si>
    <t>CPU clocks matrix decoder</t>
  </si>
  <si>
    <t>CPU clocks ISD 1 iter</t>
  </si>
  <si>
    <t>0.0134172542895715</t>
  </si>
  <si>
    <t>0.0113532832932541</t>
  </si>
  <si>
    <t>0.172381899257499</t>
  </si>
  <si>
    <t>0.0997558489817066</t>
  </si>
  <si>
    <t>0.145856525852561</t>
  </si>
  <si>
    <t>0.0704661146900389</t>
  </si>
  <si>
    <t>0.220087486964346</t>
  </si>
  <si>
    <t>0.171612133300319</t>
  </si>
  <si>
    <t>0.173446491548078</t>
  </si>
  <si>
    <t>0.101091306924760</t>
  </si>
  <si>
    <t>0.146703407852140</t>
  </si>
  <si>
    <t>0.0712989015432777</t>
  </si>
  <si>
    <t>1.54039270564525e-12</t>
  </si>
  <si>
    <t>1.17309736271372e-17</t>
  </si>
  <si>
    <t>0.000273251068842235</t>
  </si>
  <si>
    <t>0.0296352184698289</t>
  </si>
  <si>
    <t>0.119437310284455</t>
  </si>
  <si>
    <t>5.33786728767302e-8</t>
  </si>
  <si>
    <t>5.52201723926085e-6</t>
  </si>
  <si>
    <t>5.9632239257391e-20</t>
  </si>
  <si>
    <t>4.55692575607953e-6</t>
  </si>
  <si>
    <t>2.16678871847028e-9</t>
  </si>
  <si>
    <t>1.34440047396469e-14</t>
  </si>
  <si>
    <t>1.12788385261169e-13</t>
  </si>
  <si>
    <t>0.000104838407786636</t>
  </si>
  <si>
    <t>3.80207170363884e-9</t>
  </si>
  <si>
    <t>0.00011536224544467</t>
  </si>
  <si>
    <t>6.37860169597076e-10</t>
  </si>
  <si>
    <t>2.95471876086228e-14</t>
  </si>
  <si>
    <t>CPU clocks avg теор.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</si>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</sst>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1" fillId="2" borderId="0" xfId="1" applyAlignment="1">
      <alignment horizontal="center" vertical="center"/>
    </xf>
    <xf numFmtId="0" fontId="1" fillId="2" borderId="0" xfId="1" applyAlignment="1">
      <alignment horizontal="left" vertical="center"/>
    </xf>
    <xf numFmtId="0" fontId="0" fillId="0" borderId="0" xfId="0" applyAlignment="1">
      <alignment wrapText="1"/>
    </xf>
  </cellXfs>
  <cellStyles count="2">
    <cellStyle name="Обычный" xfId="0" builtinId="0"/>
    <cellStyle name="Хороший" xfId="1" builtinId="26"/>
  </cellStyles>
  <dxfs count="3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E0870-396B-483A-9E7C-C7DEF0D1F8B8}" name="Таблица1" displayName="Таблица1" ref="B12:AC75" totalsRowShown="0" headerRowDxfId="37" dataDxfId="36">
  <autoFilter ref="B12:AC75" xr:uid="{682E0870-396B-483A-9E7C-C7DEF0D1F8B8}"/>
  <tableColumns count="28">
    <tableColumn id="18" xr3:uid="{9FE6E5B7-E81D-4A1A-B407-FD83E385F99E}" name="Код" dataDxfId="35"/>
    <tableColumn id="19" xr3:uid="{2E626A55-A2AE-4F46-860A-BC39163CB453}" name="[n, k, d]" dataDxfId="34"/>
    <tableColumn id="1" xr3:uid="{FF720E54-8BDA-4FB9-BD55-ADCE9227182E}" name="m1" dataDxfId="33"/>
    <tableColumn id="2" xr3:uid="{AA9D4877-E894-42BF-A5E2-A93144FBEFC8}" name="m2" dataDxfId="32"/>
    <tableColumn id="3" xr3:uid="{0933318F-3AF1-4C45-A161-896900BFFA9B}" name="r2" dataDxfId="31"/>
    <tableColumn id="5" xr3:uid="{A242BC37-0591-4F26-BB7B-6EE15ED92B5B}" name="Всего блоков" dataDxfId="30"/>
    <tableColumn id="6" xr3:uid="{D0325683-F2B2-4010-9936-E00A56A42075}" name="Размер ключа, Мб" dataDxfId="29"/>
    <tableColumn id="7" xr3:uid="{BD51C9DF-8807-44BA-8645-2998F5AD7D41}" name="K" dataDxfId="28"/>
    <tableColumn id="8" xr3:uid="{B44A5CA7-20F5-4C80-81E5-173BEB520CFB}" name="P2" dataDxfId="27"/>
    <tableColumn id="9" xr3:uid="{0487788C-BF16-4A34-84D0-C8C5919CCF52}" name="t_block" dataDxfId="26"/>
    <tableColumn id="10" xr3:uid="{33B8F3E8-AAD8-4525-A33D-9876196650E6}" name="sec_lvl" dataDxfId="25"/>
    <tableColumn id="11" xr3:uid="{6E15470C-E773-4E2B-AE6B-4194AC142580}" name="Количество экспериментов декодера" dataDxfId="24"/>
    <tableColumn id="12" xr3:uid="{2BCB66CE-4271-4EA3-A258-E5B0B52F967A}" name="Максимальное кол-во плохих блоков" dataDxfId="23"/>
    <tableColumn id="13" xr3:uid="{F16C7C94-571A-4617-827B-03D92E334BF7}" name="DFR i=0" dataDxfId="22"/>
    <tableColumn id="14" xr3:uid="{60F7DDB6-4603-4374-9AAB-25C16E7C4F1B}" name="DFR i=3" dataDxfId="21"/>
    <tableColumn id="15" xr3:uid="{F50B6C22-66C7-45F4-ABD7-229D88A46BA7}" name="DFR i=7" dataDxfId="20"/>
    <tableColumn id="16" xr3:uid="{2E618A11-949D-4E14-B0F0-55726D5C0EA6}" name="Кол-во итераций для DFR=10^(-9)" dataDxfId="19"/>
    <tableColumn id="23" xr3:uid="{45D7293C-6B6F-45A0-8E50-E054BFED5B72}" name="DFR i=0 теор." dataDxfId="18"/>
    <tableColumn id="24" xr3:uid="{FD912884-D612-41CA-BD35-3A4AB1CD096F}" name="DFR i=3 теор." dataDxfId="17"/>
    <tableColumn id="25" xr3:uid="{3E28F134-5097-41B0-9074-DFF30761DCA7}" name="DFR i=7 теор." dataDxfId="16"/>
    <tableColumn id="26" xr3:uid="{C0BD8C10-7528-41D4-8895-FA3F8254D0B2}" name="Кол-во итераций для DFR=10^(-9) теор." dataDxfId="15"/>
    <tableColumn id="4" xr3:uid="{EA442193-B488-4F4D-90EF-F1DE8F82386B}" name="CPU clocks decoder" dataDxfId="14"/>
    <tableColumn id="17" xr3:uid="{1EE63389-DD34-40AD-9053-3CD9BA3224A2}" name="CPU clocks ISD 1 iter" dataDxfId="13"/>
    <tableColumn id="20" xr3:uid="{23F3227F-532A-4944-86FE-03FB7B10B3CF}" name="CPU clocks total эксп." dataDxfId="12">
      <calculatedColumnFormula>Таблица1[[#This Row],[CPU clocks decoder]]+Таблица1[[#This Row],[CPU clocks ISD 1 iter]]*Таблица1[[#This Row],[Кол-во итераций для DFR=10^(-9)]]</calculatedColumnFormula>
    </tableColumn>
    <tableColumn id="21" xr3:uid="{995F90F0-0488-418F-8F73-E80030CE8C47}" name="CPU clocks total теор." dataDxfId="11">
      <calculatedColumnFormula>Таблица1[[#This Row],[CPU clocks decoder]]+Таблица1[[#This Row],[Кол-во итераций для DFR=10^(-9) теор.]]*Таблица1[[#This Row],[CPU clocks ISD 1 iter]]</calculatedColumnFormula>
    </tableColumn>
    <tableColumn id="28" xr3:uid="{71D9BE2C-C49E-4393-BE7B-C1DF81BBAB38}" name="CPU clocks avg теор." dataDxfId="10"/>
    <tableColumn id="22" xr3:uid="{4203C2DD-7D43-4CC6-BA44-C053CFA9C3DB}" name="DFR matrix decoder" dataDxfId="9"/>
    <tableColumn id="27" xr3:uid="{6B6AC445-D507-4409-BB7B-F766E816B3B4}" name="CPU clocks matrix decod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AD617-CBA2-446C-96F4-20C353D8CC74}" name="Таблица3" displayName="Таблица3" ref="B3:G8" totalsRowShown="0" headerRowDxfId="7" dataDxfId="6">
  <autoFilter ref="B3:G8" xr:uid="{190AD617-CBA2-446C-96F4-20C353D8CC74}"/>
  <tableColumns count="6">
    <tableColumn id="1" xr3:uid="{101D5693-7A7A-4EAD-81A9-6FFB36CAAC5B}" name="Goppa" dataDxfId="5"/>
    <tableColumn id="2" xr3:uid="{3686F8D6-D708-43A7-A5EF-5BD93CEC413F}" name="sec_lvl" dataDxfId="4"/>
    <tableColumn id="3" xr3:uid="{8B73DF70-F61F-4988-ABC5-2CA917FD5892}" name="key size" dataDxfId="3"/>
    <tableColumn id="4" xr3:uid="{73416554-608E-49CD-8887-0930806D053D}" name="keygen clocks" dataDxfId="2"/>
    <tableColumn id="5" xr3:uid="{B930FE87-D7D7-4435-BFEE-4FBAD4FCBE5E}" name="encryption clocks" dataDxfId="1"/>
    <tableColumn id="6" xr3:uid="{B500ABFE-23B3-4CC2-AE8A-82927E285F32}" name="decryption cloc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C4D9-8068-4A95-8E68-1EB76774B003}">
  <dimension ref="B3:AC76"/>
  <sheetViews>
    <sheetView tabSelected="1" topLeftCell="H1" workbookViewId="0">
      <selection activeCell="J9" sqref="J9"/>
    </sheetView>
  </sheetViews>
  <sheetFormatPr defaultRowHeight="14.5" x14ac:dyDescent="0.35"/>
  <cols>
    <col min="2" max="2" width="19.7265625" customWidth="1"/>
    <col min="3" max="3" width="18.26953125" customWidth="1"/>
    <col min="4" max="4" width="9.6328125" customWidth="1"/>
    <col min="5" max="5" width="10.26953125" customWidth="1"/>
    <col min="6" max="6" width="10.54296875" customWidth="1"/>
    <col min="7" max="7" width="9.90625" customWidth="1"/>
    <col min="8" max="8" width="8.1796875" customWidth="1"/>
    <col min="12" max="12" width="10.26953125" customWidth="1"/>
    <col min="13" max="13" width="10.81640625" customWidth="1"/>
    <col min="14" max="14" width="11.36328125" customWidth="1"/>
    <col min="15" max="15" width="24.1796875" customWidth="1"/>
    <col min="16" max="16" width="24.26953125" customWidth="1"/>
    <col min="17" max="17" width="23.54296875" customWidth="1"/>
    <col min="18" max="18" width="15.08984375" customWidth="1"/>
    <col min="19" max="19" width="22.7265625" customWidth="1"/>
    <col min="20" max="20" width="22.90625" customWidth="1"/>
    <col min="21" max="21" width="22.81640625" customWidth="1"/>
    <col min="22" max="22" width="13.36328125" customWidth="1"/>
    <col min="23" max="23" width="13.453125" customWidth="1"/>
    <col min="24" max="24" width="13" customWidth="1"/>
    <col min="25" max="25" width="14.90625" customWidth="1"/>
    <col min="26" max="26" width="14.81640625" customWidth="1"/>
    <col min="27" max="27" width="12" customWidth="1"/>
    <col min="28" max="28" width="20.7265625" customWidth="1"/>
    <col min="29" max="29" width="11" customWidth="1"/>
  </cols>
  <sheetData>
    <row r="3" spans="2:29" ht="29" customHeight="1" x14ac:dyDescent="0.35">
      <c r="B3" s="9" t="s">
        <v>138</v>
      </c>
      <c r="C3" s="9" t="s">
        <v>7</v>
      </c>
      <c r="D3" s="9" t="s">
        <v>410</v>
      </c>
      <c r="E3" s="9" t="s">
        <v>409</v>
      </c>
      <c r="F3" s="9" t="s">
        <v>411</v>
      </c>
      <c r="G3" s="9" t="s">
        <v>412</v>
      </c>
      <c r="H3" s="9"/>
      <c r="I3" s="9"/>
      <c r="J3" s="9"/>
    </row>
    <row r="4" spans="2:29" x14ac:dyDescent="0.35">
      <c r="B4" s="1">
        <v>348864</v>
      </c>
      <c r="C4" s="1" t="s">
        <v>139</v>
      </c>
      <c r="D4" s="1" t="s">
        <v>140</v>
      </c>
      <c r="E4" s="1">
        <v>896</v>
      </c>
      <c r="F4" s="1">
        <v>0</v>
      </c>
      <c r="G4" s="1">
        <v>20</v>
      </c>
    </row>
    <row r="5" spans="2:29" x14ac:dyDescent="0.35">
      <c r="B5" s="1">
        <v>460896</v>
      </c>
      <c r="C5" s="1" t="s">
        <v>141</v>
      </c>
      <c r="D5" s="1" t="s">
        <v>142</v>
      </c>
      <c r="E5" s="1">
        <v>1979</v>
      </c>
      <c r="F5" s="1">
        <v>0</v>
      </c>
      <c r="G5" s="1">
        <v>51</v>
      </c>
    </row>
    <row r="6" spans="2:29" x14ac:dyDescent="0.35">
      <c r="B6" s="1">
        <v>6688128</v>
      </c>
      <c r="C6" s="1" t="s">
        <v>97</v>
      </c>
      <c r="D6" s="1" t="s">
        <v>143</v>
      </c>
      <c r="E6" s="1">
        <v>4756</v>
      </c>
      <c r="F6" s="1">
        <v>1</v>
      </c>
      <c r="G6" s="1">
        <v>98</v>
      </c>
    </row>
    <row r="7" spans="2:29" x14ac:dyDescent="0.35">
      <c r="B7" s="1">
        <v>6960119</v>
      </c>
      <c r="C7" s="1" t="s">
        <v>144</v>
      </c>
      <c r="D7" s="1" t="s">
        <v>145</v>
      </c>
      <c r="E7" s="1">
        <v>3311</v>
      </c>
      <c r="F7" s="1">
        <v>1</v>
      </c>
      <c r="G7" s="1">
        <v>95</v>
      </c>
    </row>
    <row r="8" spans="2:29" x14ac:dyDescent="0.35">
      <c r="B8" s="1">
        <v>8192128</v>
      </c>
      <c r="C8" s="1" t="s">
        <v>146</v>
      </c>
      <c r="D8" s="1" t="s">
        <v>147</v>
      </c>
      <c r="E8" s="1">
        <v>7871</v>
      </c>
      <c r="F8" s="1">
        <v>1</v>
      </c>
      <c r="G8" s="1">
        <v>120</v>
      </c>
    </row>
    <row r="9" spans="2:29" x14ac:dyDescent="0.35">
      <c r="O9" t="s">
        <v>448</v>
      </c>
    </row>
    <row r="12" spans="2:29" ht="62.5" customHeight="1" x14ac:dyDescent="0.35">
      <c r="B12" s="2" t="s">
        <v>3</v>
      </c>
      <c r="C12" s="2" t="s">
        <v>22</v>
      </c>
      <c r="D12" s="2" t="s">
        <v>0</v>
      </c>
      <c r="E12" s="2" t="s">
        <v>1</v>
      </c>
      <c r="F12" s="2" t="s">
        <v>2</v>
      </c>
      <c r="G12" s="2" t="s">
        <v>4</v>
      </c>
      <c r="H12" s="2" t="s">
        <v>21</v>
      </c>
      <c r="I12" s="2" t="s">
        <v>5</v>
      </c>
      <c r="J12" s="2" t="s">
        <v>6</v>
      </c>
      <c r="K12" s="2" t="s">
        <v>35</v>
      </c>
      <c r="L12" s="2" t="s">
        <v>7</v>
      </c>
      <c r="M12" s="2" t="s">
        <v>8</v>
      </c>
      <c r="N12" s="2" t="s">
        <v>9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259</v>
      </c>
      <c r="T12" s="2" t="s">
        <v>260</v>
      </c>
      <c r="U12" s="2" t="s">
        <v>261</v>
      </c>
      <c r="V12" s="2" t="s">
        <v>262</v>
      </c>
      <c r="W12" s="2" t="s">
        <v>406</v>
      </c>
      <c r="X12" s="2" t="s">
        <v>417</v>
      </c>
      <c r="Y12" s="2" t="s">
        <v>407</v>
      </c>
      <c r="Z12" s="2" t="s">
        <v>408</v>
      </c>
      <c r="AA12" s="2" t="s">
        <v>447</v>
      </c>
      <c r="AB12" s="2" t="s">
        <v>415</v>
      </c>
      <c r="AC12" s="2" t="s">
        <v>416</v>
      </c>
    </row>
    <row r="13" spans="2:29" x14ac:dyDescent="0.35">
      <c r="B13" s="3" t="s">
        <v>14</v>
      </c>
      <c r="C13" s="3" t="s">
        <v>23</v>
      </c>
      <c r="D13" s="3">
        <v>5</v>
      </c>
      <c r="E13" s="3">
        <v>9</v>
      </c>
      <c r="F13" s="3">
        <v>2</v>
      </c>
      <c r="G13" s="3">
        <v>32</v>
      </c>
      <c r="H13" s="3" t="s">
        <v>15</v>
      </c>
      <c r="I13" s="3">
        <v>16</v>
      </c>
      <c r="J13" s="3" t="s">
        <v>16</v>
      </c>
      <c r="K13" s="3">
        <v>4000</v>
      </c>
      <c r="L13" s="3" t="s">
        <v>17</v>
      </c>
      <c r="M13" s="3">
        <v>500000</v>
      </c>
      <c r="N13" s="3">
        <v>2</v>
      </c>
      <c r="O13" s="4" t="s">
        <v>245</v>
      </c>
      <c r="P13" s="4" t="s">
        <v>246</v>
      </c>
      <c r="Q13" s="4" t="s">
        <v>247</v>
      </c>
      <c r="R13" s="3">
        <v>95</v>
      </c>
      <c r="S13" s="4" t="s">
        <v>298</v>
      </c>
      <c r="T13" s="4" t="s">
        <v>299</v>
      </c>
      <c r="U13" s="4" t="s">
        <v>300</v>
      </c>
      <c r="V13" s="3">
        <v>100</v>
      </c>
      <c r="W13" s="3">
        <v>1718</v>
      </c>
      <c r="X13" s="3">
        <v>33</v>
      </c>
      <c r="Y13" s="3">
        <f>Таблица1[[#This Row],[CPU clocks decoder]]+Таблица1[[#This Row],[CPU clocks ISD 1 iter]]*Таблица1[[#This Row],[Кол-во итераций для DFR=10^(-9)]]</f>
        <v>4853</v>
      </c>
      <c r="Z13" s="3">
        <f>Таблица1[[#This Row],[CPU clocks decoder]]+Таблица1[[#This Row],[Кол-во итераций для DFR=10^(-9) теор.]]*Таблица1[[#This Row],[CPU clocks ISD 1 iter]]</f>
        <v>5018</v>
      </c>
      <c r="AA13" s="3">
        <v>1821</v>
      </c>
      <c r="AB13" s="4" t="s">
        <v>430</v>
      </c>
      <c r="AC13" s="3">
        <v>2375</v>
      </c>
    </row>
    <row r="14" spans="2:29" x14ac:dyDescent="0.35">
      <c r="B14" s="3" t="s">
        <v>14</v>
      </c>
      <c r="C14" s="3" t="s">
        <v>23</v>
      </c>
      <c r="D14" s="3">
        <v>5</v>
      </c>
      <c r="E14" s="3">
        <v>9</v>
      </c>
      <c r="F14" s="3">
        <v>2</v>
      </c>
      <c r="G14" s="3">
        <v>32</v>
      </c>
      <c r="H14" s="3" t="s">
        <v>15</v>
      </c>
      <c r="I14" s="3">
        <v>17</v>
      </c>
      <c r="J14" s="3" t="s">
        <v>18</v>
      </c>
      <c r="K14" s="3">
        <v>4000</v>
      </c>
      <c r="L14" s="3" t="s">
        <v>17</v>
      </c>
      <c r="M14" s="3">
        <v>500000</v>
      </c>
      <c r="N14" s="3">
        <v>2</v>
      </c>
      <c r="O14" s="4" t="s">
        <v>245</v>
      </c>
      <c r="P14" s="4" t="s">
        <v>248</v>
      </c>
      <c r="Q14" s="4" t="s">
        <v>249</v>
      </c>
      <c r="R14" s="3">
        <v>53</v>
      </c>
      <c r="S14" s="4" t="s">
        <v>298</v>
      </c>
      <c r="T14" s="4" t="s">
        <v>301</v>
      </c>
      <c r="U14" s="4" t="s">
        <v>302</v>
      </c>
      <c r="V14" s="3">
        <v>57</v>
      </c>
      <c r="W14" s="3">
        <v>1742</v>
      </c>
      <c r="X14" s="3">
        <v>31</v>
      </c>
      <c r="Y14" s="3">
        <f>Таблица1[[#This Row],[CPU clocks decoder]]+Таблица1[[#This Row],[CPU clocks ISD 1 iter]]*Таблица1[[#This Row],[Кол-во итераций для DFR=10^(-9)]]</f>
        <v>3385</v>
      </c>
      <c r="Z14" s="3">
        <f>Таблица1[[#This Row],[CPU clocks decoder]]+Таблица1[[#This Row],[Кол-во итераций для DFR=10^(-9) теор.]]*Таблица1[[#This Row],[CPU clocks ISD 1 iter]]</f>
        <v>3509</v>
      </c>
      <c r="AA14" s="3">
        <v>1792</v>
      </c>
      <c r="AB14" s="4" t="s">
        <v>430</v>
      </c>
      <c r="AC14" s="3">
        <v>2407</v>
      </c>
    </row>
    <row r="15" spans="2:29" x14ac:dyDescent="0.35">
      <c r="B15" s="3" t="s">
        <v>14</v>
      </c>
      <c r="C15" s="3" t="s">
        <v>23</v>
      </c>
      <c r="D15" s="3">
        <v>5</v>
      </c>
      <c r="E15" s="3">
        <v>9</v>
      </c>
      <c r="F15" s="3">
        <v>2</v>
      </c>
      <c r="G15" s="3">
        <v>32</v>
      </c>
      <c r="H15" s="3" t="s">
        <v>15</v>
      </c>
      <c r="I15" s="3">
        <v>18</v>
      </c>
      <c r="J15" s="3" t="s">
        <v>19</v>
      </c>
      <c r="K15" s="3">
        <v>4000</v>
      </c>
      <c r="L15" s="3" t="s">
        <v>17</v>
      </c>
      <c r="M15" s="3">
        <v>500000</v>
      </c>
      <c r="N15" s="3">
        <v>2</v>
      </c>
      <c r="O15" s="4" t="s">
        <v>245</v>
      </c>
      <c r="P15" s="4" t="s">
        <v>250</v>
      </c>
      <c r="Q15" s="4" t="s">
        <v>251</v>
      </c>
      <c r="R15" s="3">
        <v>46</v>
      </c>
      <c r="S15" s="4" t="s">
        <v>298</v>
      </c>
      <c r="T15" s="4" t="s">
        <v>303</v>
      </c>
      <c r="U15" s="4" t="s">
        <v>304</v>
      </c>
      <c r="V15" s="3">
        <v>49</v>
      </c>
      <c r="W15" s="3">
        <v>1726</v>
      </c>
      <c r="X15" s="3">
        <v>34</v>
      </c>
      <c r="Y15" s="3">
        <f>Таблица1[[#This Row],[CPU clocks decoder]]+Таблица1[[#This Row],[CPU clocks ISD 1 iter]]*Таблица1[[#This Row],[Кол-во итераций для DFR=10^(-9)]]</f>
        <v>3290</v>
      </c>
      <c r="Z15" s="3">
        <f>Таблица1[[#This Row],[CPU clocks decoder]]+Таблица1[[#This Row],[Кол-во итераций для DFR=10^(-9) теор.]]*Таблица1[[#This Row],[CPU clocks ISD 1 iter]]</f>
        <v>3392</v>
      </c>
      <c r="AA15" s="3">
        <v>1768</v>
      </c>
      <c r="AB15" s="4" t="s">
        <v>430</v>
      </c>
      <c r="AC15" s="3">
        <v>2391</v>
      </c>
    </row>
    <row r="16" spans="2:29" x14ac:dyDescent="0.35">
      <c r="B16" s="5" t="s">
        <v>14</v>
      </c>
      <c r="C16" s="5" t="s">
        <v>23</v>
      </c>
      <c r="D16" s="5">
        <v>5</v>
      </c>
      <c r="E16" s="5">
        <v>9</v>
      </c>
      <c r="F16" s="5">
        <v>2</v>
      </c>
      <c r="G16" s="5">
        <v>32</v>
      </c>
      <c r="H16" s="5" t="s">
        <v>15</v>
      </c>
      <c r="I16" s="5">
        <v>16</v>
      </c>
      <c r="J16" s="5" t="s">
        <v>16</v>
      </c>
      <c r="K16" s="5">
        <v>3749</v>
      </c>
      <c r="L16" s="5" t="s">
        <v>20</v>
      </c>
      <c r="M16" s="5">
        <v>500000</v>
      </c>
      <c r="N16" s="5">
        <v>1</v>
      </c>
      <c r="O16" s="6" t="s">
        <v>155</v>
      </c>
      <c r="P16" s="6" t="s">
        <v>156</v>
      </c>
      <c r="Q16" s="6" t="s">
        <v>157</v>
      </c>
      <c r="R16" s="5">
        <v>67</v>
      </c>
      <c r="S16" s="6" t="s">
        <v>288</v>
      </c>
      <c r="T16" s="6" t="s">
        <v>289</v>
      </c>
      <c r="U16" s="6" t="s">
        <v>290</v>
      </c>
      <c r="V16" s="5">
        <v>67</v>
      </c>
      <c r="W16" s="5">
        <v>1718</v>
      </c>
      <c r="X16" s="5">
        <v>33</v>
      </c>
      <c r="Y16" s="5">
        <f>Таблица1[[#This Row],[CPU clocks decoder]]+Таблица1[[#This Row],[CPU clocks ISD 1 iter]]*Таблица1[[#This Row],[Кол-во итераций для DFR=10^(-9)]]</f>
        <v>3929</v>
      </c>
      <c r="Z16" s="5">
        <f>Таблица1[[#This Row],[CPU clocks decoder]]+Таблица1[[#This Row],[Кол-во итераций для DFR=10^(-9) теор.]]*Таблица1[[#This Row],[CPU clocks ISD 1 iter]]</f>
        <v>3929</v>
      </c>
      <c r="AA16" s="5">
        <v>1821</v>
      </c>
      <c r="AB16" s="6" t="s">
        <v>431</v>
      </c>
      <c r="AC16" s="5">
        <v>2375</v>
      </c>
    </row>
    <row r="17" spans="2:29" x14ac:dyDescent="0.35">
      <c r="B17" s="5" t="s">
        <v>14</v>
      </c>
      <c r="C17" s="5" t="s">
        <v>23</v>
      </c>
      <c r="D17" s="5">
        <v>5</v>
      </c>
      <c r="E17" s="5">
        <v>9</v>
      </c>
      <c r="F17" s="5">
        <v>2</v>
      </c>
      <c r="G17" s="5">
        <v>32</v>
      </c>
      <c r="H17" s="5" t="s">
        <v>15</v>
      </c>
      <c r="I17" s="5">
        <v>17</v>
      </c>
      <c r="J17" s="5" t="s">
        <v>18</v>
      </c>
      <c r="K17" s="5">
        <v>3749</v>
      </c>
      <c r="L17" s="5" t="s">
        <v>20</v>
      </c>
      <c r="M17" s="5">
        <v>500000</v>
      </c>
      <c r="N17" s="5">
        <v>1</v>
      </c>
      <c r="O17" s="6" t="s">
        <v>155</v>
      </c>
      <c r="P17" s="6" t="s">
        <v>158</v>
      </c>
      <c r="Q17" s="6" t="s">
        <v>159</v>
      </c>
      <c r="R17" s="5">
        <v>33</v>
      </c>
      <c r="S17" s="6" t="s">
        <v>288</v>
      </c>
      <c r="T17" s="6" t="s">
        <v>291</v>
      </c>
      <c r="U17" s="6" t="s">
        <v>292</v>
      </c>
      <c r="V17" s="5">
        <v>33</v>
      </c>
      <c r="W17" s="5">
        <v>1742</v>
      </c>
      <c r="X17" s="5">
        <v>31</v>
      </c>
      <c r="Y17" s="5">
        <f>Таблица1[[#This Row],[CPU clocks decoder]]+Таблица1[[#This Row],[CPU clocks ISD 1 iter]]*Таблица1[[#This Row],[Кол-во итераций для DFR=10^(-9)]]</f>
        <v>2765</v>
      </c>
      <c r="Z17" s="5">
        <f>Таблица1[[#This Row],[CPU clocks decoder]]+Таблица1[[#This Row],[Кол-во итераций для DFR=10^(-9) теор.]]*Таблица1[[#This Row],[CPU clocks ISD 1 iter]]</f>
        <v>2765</v>
      </c>
      <c r="AA17" s="5">
        <v>1792</v>
      </c>
      <c r="AB17" s="6" t="s">
        <v>431</v>
      </c>
      <c r="AC17" s="5">
        <v>2407</v>
      </c>
    </row>
    <row r="18" spans="2:29" x14ac:dyDescent="0.35">
      <c r="B18" s="5" t="s">
        <v>14</v>
      </c>
      <c r="C18" s="5" t="s">
        <v>23</v>
      </c>
      <c r="D18" s="5">
        <v>5</v>
      </c>
      <c r="E18" s="5">
        <v>9</v>
      </c>
      <c r="F18" s="5">
        <v>2</v>
      </c>
      <c r="G18" s="5">
        <v>32</v>
      </c>
      <c r="H18" s="5" t="s">
        <v>15</v>
      </c>
      <c r="I18" s="5">
        <v>18</v>
      </c>
      <c r="J18" s="5" t="s">
        <v>19</v>
      </c>
      <c r="K18" s="5">
        <v>3749</v>
      </c>
      <c r="L18" s="5" t="s">
        <v>20</v>
      </c>
      <c r="M18" s="5">
        <v>500000</v>
      </c>
      <c r="N18" s="5">
        <v>1</v>
      </c>
      <c r="O18" s="6" t="s">
        <v>155</v>
      </c>
      <c r="P18" s="6" t="s">
        <v>160</v>
      </c>
      <c r="Q18" s="6" t="s">
        <v>161</v>
      </c>
      <c r="R18" s="5">
        <v>26</v>
      </c>
      <c r="S18" s="6" t="s">
        <v>288</v>
      </c>
      <c r="T18" s="6" t="s">
        <v>293</v>
      </c>
      <c r="U18" s="6" t="s">
        <v>294</v>
      </c>
      <c r="V18" s="5">
        <v>26</v>
      </c>
      <c r="W18" s="5">
        <v>1726</v>
      </c>
      <c r="X18" s="5">
        <v>34</v>
      </c>
      <c r="Y18" s="5">
        <f>Таблица1[[#This Row],[CPU clocks decoder]]+Таблица1[[#This Row],[CPU clocks ISD 1 iter]]*Таблица1[[#This Row],[Кол-во итераций для DFR=10^(-9)]]</f>
        <v>2610</v>
      </c>
      <c r="Z18" s="5">
        <f>Таблица1[[#This Row],[CPU clocks decoder]]+Таблица1[[#This Row],[Кол-во итераций для DFR=10^(-9) теор.]]*Таблица1[[#This Row],[CPU clocks ISD 1 iter]]</f>
        <v>2610</v>
      </c>
      <c r="AA18" s="5">
        <v>1767</v>
      </c>
      <c r="AB18" s="6" t="s">
        <v>431</v>
      </c>
      <c r="AC18" s="5">
        <v>2391</v>
      </c>
    </row>
    <row r="19" spans="2:29" x14ac:dyDescent="0.35">
      <c r="B19" s="3" t="s">
        <v>25</v>
      </c>
      <c r="C19" s="3" t="s">
        <v>24</v>
      </c>
      <c r="D19" s="3">
        <v>6</v>
      </c>
      <c r="E19" s="3">
        <v>8</v>
      </c>
      <c r="F19" s="3">
        <v>2</v>
      </c>
      <c r="G19" s="3">
        <v>64</v>
      </c>
      <c r="H19" s="3" t="s">
        <v>26</v>
      </c>
      <c r="I19" s="3">
        <v>42</v>
      </c>
      <c r="J19" s="3" t="s">
        <v>27</v>
      </c>
      <c r="K19" s="3">
        <v>3392</v>
      </c>
      <c r="L19" s="3" t="s">
        <v>28</v>
      </c>
      <c r="M19" s="3">
        <v>500000</v>
      </c>
      <c r="N19" s="3">
        <v>5</v>
      </c>
      <c r="O19" s="4" t="s">
        <v>228</v>
      </c>
      <c r="P19" s="4" t="s">
        <v>229</v>
      </c>
      <c r="Q19" s="4" t="s">
        <v>230</v>
      </c>
      <c r="R19" s="3">
        <v>10658</v>
      </c>
      <c r="S19" s="4" t="s">
        <v>295</v>
      </c>
      <c r="T19" s="4" t="s">
        <v>296</v>
      </c>
      <c r="U19" s="4" t="s">
        <v>297</v>
      </c>
      <c r="V19" s="3">
        <v>67814</v>
      </c>
      <c r="W19" s="3">
        <v>897</v>
      </c>
      <c r="X19" s="3">
        <v>42</v>
      </c>
      <c r="Y19" s="3">
        <f>Таблица1[[#This Row],[CPU clocks decoder]]+Таблица1[[#This Row],[CPU clocks ISD 1 iter]]*Таблица1[[#This Row],[Кол-во итераций для DFR=10^(-9)]]</f>
        <v>448533</v>
      </c>
      <c r="Z19" s="3">
        <f>Таблица1[[#This Row],[CPU clocks decoder]]+Таблица1[[#This Row],[Кол-во итераций для DFR=10^(-9) теор.]]*Таблица1[[#This Row],[CPU clocks ISD 1 iter]]</f>
        <v>2849085</v>
      </c>
      <c r="AA19" s="3">
        <v>1268</v>
      </c>
      <c r="AB19" s="4" t="s">
        <v>432</v>
      </c>
      <c r="AC19" s="3">
        <v>3172</v>
      </c>
    </row>
    <row r="20" spans="2:29" x14ac:dyDescent="0.35">
      <c r="B20" s="3" t="s">
        <v>25</v>
      </c>
      <c r="C20" s="3" t="s">
        <v>24</v>
      </c>
      <c r="D20" s="3">
        <v>6</v>
      </c>
      <c r="E20" s="3">
        <v>8</v>
      </c>
      <c r="F20" s="3">
        <v>2</v>
      </c>
      <c r="G20" s="3">
        <v>64</v>
      </c>
      <c r="H20" s="3" t="s">
        <v>26</v>
      </c>
      <c r="I20" s="3">
        <v>43</v>
      </c>
      <c r="J20" s="3" t="s">
        <v>29</v>
      </c>
      <c r="K20" s="3">
        <v>3392</v>
      </c>
      <c r="L20" s="3" t="s">
        <v>28</v>
      </c>
      <c r="M20" s="3">
        <v>500000</v>
      </c>
      <c r="N20" s="3">
        <v>5</v>
      </c>
      <c r="O20" s="4" t="s">
        <v>228</v>
      </c>
      <c r="P20" s="4" t="s">
        <v>231</v>
      </c>
      <c r="Q20" s="4" t="s">
        <v>232</v>
      </c>
      <c r="R20" s="3">
        <v>6141</v>
      </c>
      <c r="S20" s="4" t="s">
        <v>295</v>
      </c>
      <c r="T20" s="4" t="s">
        <v>420</v>
      </c>
      <c r="U20" s="4" t="s">
        <v>421</v>
      </c>
      <c r="V20" s="3">
        <v>44720</v>
      </c>
      <c r="W20" s="3">
        <v>884</v>
      </c>
      <c r="X20" s="3">
        <v>40</v>
      </c>
      <c r="Y20" s="3">
        <f>Таблица1[[#This Row],[CPU clocks decoder]]+Таблица1[[#This Row],[CPU clocks ISD 1 iter]]*Таблица1[[#This Row],[Кол-во итераций для DFR=10^(-9)]]</f>
        <v>246524</v>
      </c>
      <c r="Z20" s="3">
        <f>Таблица1[[#This Row],[CPU clocks decoder]]+Таблица1[[#This Row],[Кол-во итераций для DFR=10^(-9) теор.]]*Таблица1[[#This Row],[CPU clocks ISD 1 iter]]</f>
        <v>1789684</v>
      </c>
      <c r="AA20" s="3">
        <v>1049</v>
      </c>
      <c r="AB20" s="4" t="s">
        <v>432</v>
      </c>
      <c r="AC20" s="3">
        <v>3219</v>
      </c>
    </row>
    <row r="21" spans="2:29" x14ac:dyDescent="0.35">
      <c r="B21" s="3" t="s">
        <v>25</v>
      </c>
      <c r="C21" s="3" t="s">
        <v>24</v>
      </c>
      <c r="D21" s="3">
        <v>6</v>
      </c>
      <c r="E21" s="3">
        <v>8</v>
      </c>
      <c r="F21" s="3">
        <v>2</v>
      </c>
      <c r="G21" s="3">
        <v>64</v>
      </c>
      <c r="H21" s="3" t="s">
        <v>26</v>
      </c>
      <c r="I21" s="3">
        <v>44</v>
      </c>
      <c r="J21" s="3" t="s">
        <v>30</v>
      </c>
      <c r="K21" s="3">
        <v>3392</v>
      </c>
      <c r="L21" s="3" t="s">
        <v>28</v>
      </c>
      <c r="M21" s="3">
        <v>500000</v>
      </c>
      <c r="N21" s="3">
        <v>5</v>
      </c>
      <c r="O21" s="4" t="s">
        <v>228</v>
      </c>
      <c r="P21" s="4" t="s">
        <v>233</v>
      </c>
      <c r="Q21" s="4" t="s">
        <v>234</v>
      </c>
      <c r="R21" s="3">
        <v>5645</v>
      </c>
      <c r="S21" s="4" t="s">
        <v>295</v>
      </c>
      <c r="T21" s="4" t="s">
        <v>422</v>
      </c>
      <c r="U21" s="4" t="s">
        <v>423</v>
      </c>
      <c r="V21" s="3">
        <v>47471</v>
      </c>
      <c r="W21" s="3">
        <v>875</v>
      </c>
      <c r="X21" s="3">
        <v>42</v>
      </c>
      <c r="Y21" s="3">
        <f>Таблица1[[#This Row],[CPU clocks decoder]]+Таблица1[[#This Row],[CPU clocks ISD 1 iter]]*Таблица1[[#This Row],[Кол-во итераций для DFR=10^(-9)]]</f>
        <v>237965</v>
      </c>
      <c r="Z21" s="3">
        <f>Таблица1[[#This Row],[CPU clocks decoder]]+Таблица1[[#This Row],[Кол-во итераций для DFR=10^(-9) теор.]]*Таблица1[[#This Row],[CPU clocks ISD 1 iter]]</f>
        <v>1994657</v>
      </c>
      <c r="AA21" s="3">
        <v>1003</v>
      </c>
      <c r="AB21" s="4" t="s">
        <v>432</v>
      </c>
      <c r="AC21" s="3">
        <v>3219</v>
      </c>
    </row>
    <row r="22" spans="2:29" x14ac:dyDescent="0.35">
      <c r="B22" s="3" t="s">
        <v>32</v>
      </c>
      <c r="C22" s="3" t="s">
        <v>31</v>
      </c>
      <c r="D22" s="3">
        <v>6</v>
      </c>
      <c r="E22" s="3">
        <v>8</v>
      </c>
      <c r="F22" s="3">
        <v>2</v>
      </c>
      <c r="G22" s="3">
        <v>64</v>
      </c>
      <c r="H22" s="3" t="s">
        <v>33</v>
      </c>
      <c r="I22" s="3">
        <v>42</v>
      </c>
      <c r="J22" s="3" t="s">
        <v>34</v>
      </c>
      <c r="K22" s="3">
        <v>3392</v>
      </c>
      <c r="L22" s="3" t="s">
        <v>36</v>
      </c>
      <c r="M22" s="3">
        <v>500000</v>
      </c>
      <c r="N22" s="3">
        <v>5</v>
      </c>
      <c r="O22" s="4" t="s">
        <v>228</v>
      </c>
      <c r="P22" s="4" t="s">
        <v>235</v>
      </c>
      <c r="Q22" s="4" t="s">
        <v>236</v>
      </c>
      <c r="R22" s="3">
        <v>11027</v>
      </c>
      <c r="S22" s="4" t="s">
        <v>295</v>
      </c>
      <c r="T22" s="4" t="s">
        <v>424</v>
      </c>
      <c r="U22" s="4" t="s">
        <v>425</v>
      </c>
      <c r="V22" s="3">
        <v>70160</v>
      </c>
      <c r="W22" s="3">
        <v>896</v>
      </c>
      <c r="X22" s="3">
        <v>44</v>
      </c>
      <c r="Y22" s="3">
        <f>Таблица1[[#This Row],[CPU clocks decoder]]+Таблица1[[#This Row],[CPU clocks ISD 1 iter]]*Таблица1[[#This Row],[Кол-во итераций для DFR=10^(-9)]]</f>
        <v>486084</v>
      </c>
      <c r="Z22" s="3">
        <f>Таблица1[[#This Row],[CPU clocks decoder]]+Таблица1[[#This Row],[Кол-во итераций для DFR=10^(-9) теор.]]*Таблица1[[#This Row],[CPU clocks ISD 1 iter]]</f>
        <v>3087936</v>
      </c>
      <c r="AA22" s="3">
        <v>1298</v>
      </c>
      <c r="AB22" s="4" t="s">
        <v>432</v>
      </c>
      <c r="AC22" s="3">
        <v>3235</v>
      </c>
    </row>
    <row r="23" spans="2:29" x14ac:dyDescent="0.35">
      <c r="B23" s="3" t="s">
        <v>32</v>
      </c>
      <c r="C23" s="3" t="s">
        <v>31</v>
      </c>
      <c r="D23" s="3">
        <v>6</v>
      </c>
      <c r="E23" s="3">
        <v>8</v>
      </c>
      <c r="F23" s="3">
        <v>2</v>
      </c>
      <c r="G23" s="3">
        <v>64</v>
      </c>
      <c r="H23" s="3" t="s">
        <v>33</v>
      </c>
      <c r="I23" s="3">
        <v>43</v>
      </c>
      <c r="J23" s="3" t="s">
        <v>37</v>
      </c>
      <c r="K23" s="3">
        <v>3392</v>
      </c>
      <c r="L23" s="3" t="s">
        <v>36</v>
      </c>
      <c r="M23" s="3">
        <v>500000</v>
      </c>
      <c r="N23" s="3">
        <v>5</v>
      </c>
      <c r="O23" s="4" t="s">
        <v>228</v>
      </c>
      <c r="P23" s="4" t="s">
        <v>237</v>
      </c>
      <c r="Q23" s="4" t="s">
        <v>238</v>
      </c>
      <c r="R23" s="3">
        <v>6225</v>
      </c>
      <c r="S23" s="4" t="s">
        <v>295</v>
      </c>
      <c r="T23" s="4" t="s">
        <v>426</v>
      </c>
      <c r="U23" s="4" t="s">
        <v>427</v>
      </c>
      <c r="V23" s="3">
        <v>45327</v>
      </c>
      <c r="W23" s="3">
        <v>895</v>
      </c>
      <c r="X23" s="3">
        <v>43</v>
      </c>
      <c r="Y23" s="3">
        <f>Таблица1[[#This Row],[CPU clocks decoder]]+Таблица1[[#This Row],[CPU clocks ISD 1 iter]]*Таблица1[[#This Row],[Кол-во итераций для DFR=10^(-9)]]</f>
        <v>268570</v>
      </c>
      <c r="Z23" s="3">
        <f>Таблица1[[#This Row],[CPU clocks decoder]]+Таблица1[[#This Row],[Кол-во итераций для DFR=10^(-9) теор.]]*Таблица1[[#This Row],[CPU clocks ISD 1 iter]]</f>
        <v>1949956</v>
      </c>
      <c r="AA23" s="3">
        <v>1075</v>
      </c>
      <c r="AB23" s="4" t="s">
        <v>432</v>
      </c>
      <c r="AC23" s="3">
        <v>3282</v>
      </c>
    </row>
    <row r="24" spans="2:29" x14ac:dyDescent="0.35">
      <c r="B24" s="3" t="s">
        <v>32</v>
      </c>
      <c r="C24" s="3" t="s">
        <v>31</v>
      </c>
      <c r="D24" s="3">
        <v>6</v>
      </c>
      <c r="E24" s="3">
        <v>8</v>
      </c>
      <c r="F24" s="3">
        <v>2</v>
      </c>
      <c r="G24" s="3">
        <v>64</v>
      </c>
      <c r="H24" s="3" t="s">
        <v>33</v>
      </c>
      <c r="I24" s="3">
        <v>44</v>
      </c>
      <c r="J24" s="3" t="s">
        <v>38</v>
      </c>
      <c r="K24" s="3">
        <v>3392</v>
      </c>
      <c r="L24" s="3" t="s">
        <v>36</v>
      </c>
      <c r="M24" s="3">
        <v>500000</v>
      </c>
      <c r="N24" s="3">
        <v>5</v>
      </c>
      <c r="O24" s="4" t="s">
        <v>228</v>
      </c>
      <c r="P24" s="4" t="s">
        <v>239</v>
      </c>
      <c r="Q24" s="4" t="s">
        <v>240</v>
      </c>
      <c r="R24" s="3">
        <v>5696</v>
      </c>
      <c r="S24" s="4" t="s">
        <v>295</v>
      </c>
      <c r="T24" s="4" t="s">
        <v>428</v>
      </c>
      <c r="U24" s="4" t="s">
        <v>429</v>
      </c>
      <c r="V24" s="3">
        <v>47899</v>
      </c>
      <c r="W24" s="3">
        <v>890</v>
      </c>
      <c r="X24" s="3">
        <v>39</v>
      </c>
      <c r="Y24" s="3">
        <f>Таблица1[[#This Row],[CPU clocks decoder]]+Таблица1[[#This Row],[CPU clocks ISD 1 iter]]*Таблица1[[#This Row],[Кол-во итераций для DFR=10^(-9)]]</f>
        <v>223034</v>
      </c>
      <c r="Z24" s="3">
        <f>Таблица1[[#This Row],[CPU clocks decoder]]+Таблица1[[#This Row],[Кол-во итераций для DFR=10^(-9) теор.]]*Таблица1[[#This Row],[CPU clocks ISD 1 iter]]</f>
        <v>1868951</v>
      </c>
      <c r="AA24" s="3">
        <v>1010</v>
      </c>
      <c r="AB24" s="4" t="s">
        <v>432</v>
      </c>
      <c r="AC24" s="3">
        <v>3188</v>
      </c>
    </row>
    <row r="25" spans="2:29" x14ac:dyDescent="0.35">
      <c r="B25" s="3" t="s">
        <v>39</v>
      </c>
      <c r="C25" s="3" t="s">
        <v>40</v>
      </c>
      <c r="D25" s="3">
        <v>5</v>
      </c>
      <c r="E25" s="3">
        <v>8</v>
      </c>
      <c r="F25" s="3">
        <v>2</v>
      </c>
      <c r="G25" s="3">
        <v>32</v>
      </c>
      <c r="H25" s="3" t="s">
        <v>41</v>
      </c>
      <c r="I25" s="3">
        <v>26</v>
      </c>
      <c r="J25" s="3" t="s">
        <v>42</v>
      </c>
      <c r="K25" s="3">
        <v>1744</v>
      </c>
      <c r="L25" s="3" t="s">
        <v>20</v>
      </c>
      <c r="M25" s="3">
        <v>500000</v>
      </c>
      <c r="N25" s="3">
        <v>4</v>
      </c>
      <c r="O25" s="4" t="s">
        <v>252</v>
      </c>
      <c r="P25" s="4" t="s">
        <v>253</v>
      </c>
      <c r="Q25" s="4" t="s">
        <v>254</v>
      </c>
      <c r="R25" s="3">
        <v>52380</v>
      </c>
      <c r="S25" s="4"/>
      <c r="T25" s="4"/>
      <c r="U25" s="4"/>
      <c r="V25" s="3"/>
      <c r="W25" s="3">
        <v>454</v>
      </c>
      <c r="X25" s="3">
        <v>22</v>
      </c>
      <c r="Y25" s="3">
        <f>Таблица1[[#This Row],[CPU clocks decoder]]+Таблица1[[#This Row],[CPU clocks ISD 1 iter]]*Таблица1[[#This Row],[Кол-во итераций для DFR=10^(-9)]]</f>
        <v>1152814</v>
      </c>
      <c r="Z25" s="3"/>
      <c r="AA25" s="3"/>
      <c r="AB25" s="4" t="s">
        <v>433</v>
      </c>
      <c r="AC25" s="3">
        <v>906</v>
      </c>
    </row>
    <row r="26" spans="2:29" x14ac:dyDescent="0.35">
      <c r="B26" s="3" t="s">
        <v>39</v>
      </c>
      <c r="C26" s="3" t="s">
        <v>40</v>
      </c>
      <c r="D26" s="3">
        <v>5</v>
      </c>
      <c r="E26" s="3">
        <v>8</v>
      </c>
      <c r="F26" s="3">
        <v>2</v>
      </c>
      <c r="G26" s="3">
        <v>32</v>
      </c>
      <c r="H26" s="3" t="s">
        <v>41</v>
      </c>
      <c r="I26" s="3">
        <v>27</v>
      </c>
      <c r="J26" s="3" t="s">
        <v>43</v>
      </c>
      <c r="K26" s="3">
        <v>1744</v>
      </c>
      <c r="L26" s="3" t="s">
        <v>20</v>
      </c>
      <c r="M26" s="3">
        <v>500000</v>
      </c>
      <c r="N26" s="3">
        <v>4</v>
      </c>
      <c r="O26" s="4" t="s">
        <v>252</v>
      </c>
      <c r="P26" s="4" t="s">
        <v>255</v>
      </c>
      <c r="Q26" s="4" t="s">
        <v>256</v>
      </c>
      <c r="R26" s="3">
        <v>93281</v>
      </c>
      <c r="S26" s="4"/>
      <c r="T26" s="4"/>
      <c r="U26" s="4"/>
      <c r="V26" s="3"/>
      <c r="W26" s="3">
        <v>459</v>
      </c>
      <c r="X26" s="3">
        <v>26</v>
      </c>
      <c r="Y26" s="3">
        <f>Таблица1[[#This Row],[CPU clocks decoder]]+Таблица1[[#This Row],[CPU clocks ISD 1 iter]]*Таблица1[[#This Row],[Кол-во итераций для DFR=10^(-9)]]</f>
        <v>2425765</v>
      </c>
      <c r="Z26" s="3"/>
      <c r="AA26" s="3"/>
      <c r="AB26" s="4" t="s">
        <v>433</v>
      </c>
      <c r="AC26" s="3">
        <v>891</v>
      </c>
    </row>
    <row r="27" spans="2:29" x14ac:dyDescent="0.35">
      <c r="B27" s="3" t="s">
        <v>39</v>
      </c>
      <c r="C27" s="3" t="s">
        <v>40</v>
      </c>
      <c r="D27" s="3">
        <v>5</v>
      </c>
      <c r="E27" s="3">
        <v>8</v>
      </c>
      <c r="F27" s="3">
        <v>2</v>
      </c>
      <c r="G27" s="3">
        <v>32</v>
      </c>
      <c r="H27" s="3" t="s">
        <v>41</v>
      </c>
      <c r="I27" s="3">
        <v>28</v>
      </c>
      <c r="J27" s="3" t="s">
        <v>44</v>
      </c>
      <c r="K27" s="3">
        <v>1744</v>
      </c>
      <c r="L27" s="3" t="s">
        <v>20</v>
      </c>
      <c r="M27" s="3">
        <v>500000</v>
      </c>
      <c r="N27" s="3">
        <v>4</v>
      </c>
      <c r="O27" s="4" t="s">
        <v>252</v>
      </c>
      <c r="P27" s="4" t="s">
        <v>257</v>
      </c>
      <c r="Q27" s="4" t="s">
        <v>258</v>
      </c>
      <c r="R27" s="3">
        <v>398133</v>
      </c>
      <c r="S27" s="4"/>
      <c r="T27" s="4"/>
      <c r="U27" s="4"/>
      <c r="V27" s="3"/>
      <c r="W27" s="3">
        <v>459</v>
      </c>
      <c r="X27" s="3">
        <v>26</v>
      </c>
      <c r="Y27" s="3">
        <f>Таблица1[[#This Row],[CPU clocks decoder]]+Таблица1[[#This Row],[CPU clocks ISD 1 iter]]*Таблица1[[#This Row],[Кол-во итераций для DFR=10^(-9)]]</f>
        <v>10351917</v>
      </c>
      <c r="Z27" s="3"/>
      <c r="AA27" s="3"/>
      <c r="AB27" s="4" t="s">
        <v>433</v>
      </c>
      <c r="AC27" s="3">
        <v>907</v>
      </c>
    </row>
    <row r="28" spans="2:29" x14ac:dyDescent="0.35">
      <c r="B28" s="3" t="s">
        <v>45</v>
      </c>
      <c r="C28" s="3" t="s">
        <v>46</v>
      </c>
      <c r="D28" s="3">
        <v>6</v>
      </c>
      <c r="E28" s="3">
        <v>7</v>
      </c>
      <c r="F28" s="3">
        <v>2</v>
      </c>
      <c r="G28" s="3">
        <v>64</v>
      </c>
      <c r="H28" s="3" t="s">
        <v>47</v>
      </c>
      <c r="I28" s="3">
        <v>57</v>
      </c>
      <c r="J28" s="3" t="s">
        <v>48</v>
      </c>
      <c r="K28" s="3">
        <v>1194</v>
      </c>
      <c r="L28" s="3" t="s">
        <v>244</v>
      </c>
      <c r="M28" s="3">
        <v>500000</v>
      </c>
      <c r="N28" s="3">
        <v>6</v>
      </c>
      <c r="O28" s="4" t="s">
        <v>263</v>
      </c>
      <c r="P28" s="4" t="s">
        <v>264</v>
      </c>
      <c r="Q28" s="4" t="s">
        <v>265</v>
      </c>
      <c r="R28" s="3"/>
      <c r="S28" s="4"/>
      <c r="T28" s="4"/>
      <c r="U28" s="4"/>
      <c r="V28" s="3"/>
      <c r="W28" s="3">
        <v>224</v>
      </c>
      <c r="X28" s="3">
        <v>45</v>
      </c>
      <c r="Y28" s="3"/>
      <c r="Z28" s="3"/>
      <c r="AA28" s="3"/>
      <c r="AB28" s="4" t="s">
        <v>434</v>
      </c>
      <c r="AC28" s="3">
        <v>9892</v>
      </c>
    </row>
    <row r="29" spans="2:29" x14ac:dyDescent="0.35">
      <c r="B29" s="3" t="s">
        <v>45</v>
      </c>
      <c r="C29" s="3" t="s">
        <v>46</v>
      </c>
      <c r="D29" s="3">
        <v>6</v>
      </c>
      <c r="E29" s="3">
        <v>7</v>
      </c>
      <c r="F29" s="3">
        <v>2</v>
      </c>
      <c r="G29" s="3">
        <v>64</v>
      </c>
      <c r="H29" s="3" t="s">
        <v>47</v>
      </c>
      <c r="I29" s="3">
        <v>58</v>
      </c>
      <c r="J29" s="3" t="s">
        <v>49</v>
      </c>
      <c r="K29" s="3">
        <v>1194</v>
      </c>
      <c r="L29" s="3" t="s">
        <v>244</v>
      </c>
      <c r="M29" s="3">
        <v>500000</v>
      </c>
      <c r="N29" s="3">
        <v>6</v>
      </c>
      <c r="O29" s="4" t="s">
        <v>263</v>
      </c>
      <c r="P29" s="4" t="s">
        <v>266</v>
      </c>
      <c r="Q29" s="4" t="s">
        <v>267</v>
      </c>
      <c r="R29" s="3"/>
      <c r="S29" s="4"/>
      <c r="T29" s="4"/>
      <c r="U29" s="4"/>
      <c r="V29" s="3"/>
      <c r="W29" s="3">
        <v>221</v>
      </c>
      <c r="X29" s="3">
        <v>47</v>
      </c>
      <c r="Y29" s="3"/>
      <c r="Z29" s="3"/>
      <c r="AA29" s="3"/>
      <c r="AB29" s="4" t="s">
        <v>434</v>
      </c>
      <c r="AC29" s="3">
        <v>16204</v>
      </c>
    </row>
    <row r="30" spans="2:29" x14ac:dyDescent="0.35">
      <c r="B30" s="3" t="s">
        <v>45</v>
      </c>
      <c r="C30" s="3" t="s">
        <v>46</v>
      </c>
      <c r="D30" s="3">
        <v>6</v>
      </c>
      <c r="E30" s="3">
        <v>7</v>
      </c>
      <c r="F30" s="3">
        <v>2</v>
      </c>
      <c r="G30" s="3">
        <v>64</v>
      </c>
      <c r="H30" s="3" t="s">
        <v>47</v>
      </c>
      <c r="I30" s="3">
        <v>59</v>
      </c>
      <c r="J30" s="3" t="s">
        <v>50</v>
      </c>
      <c r="K30" s="3">
        <v>1194</v>
      </c>
      <c r="L30" s="3" t="s">
        <v>244</v>
      </c>
      <c r="M30" s="3">
        <v>500000</v>
      </c>
      <c r="N30" s="3">
        <v>6</v>
      </c>
      <c r="O30" s="4" t="s">
        <v>263</v>
      </c>
      <c r="P30" s="4" t="s">
        <v>268</v>
      </c>
      <c r="Q30" s="4" t="s">
        <v>269</v>
      </c>
      <c r="R30" s="3"/>
      <c r="S30" s="4"/>
      <c r="T30" s="4"/>
      <c r="U30" s="4"/>
      <c r="V30" s="3"/>
      <c r="W30" s="3">
        <v>221</v>
      </c>
      <c r="X30" s="3">
        <v>46</v>
      </c>
      <c r="Y30" s="3"/>
      <c r="Z30" s="3"/>
      <c r="AA30" s="3"/>
      <c r="AB30" s="4" t="s">
        <v>434</v>
      </c>
      <c r="AC30" s="3">
        <v>10032</v>
      </c>
    </row>
    <row r="31" spans="2:29" x14ac:dyDescent="0.35">
      <c r="B31" s="3" t="s">
        <v>39</v>
      </c>
      <c r="C31" s="3" t="s">
        <v>51</v>
      </c>
      <c r="D31" s="3">
        <v>7</v>
      </c>
      <c r="E31" s="3">
        <v>7</v>
      </c>
      <c r="F31" s="3">
        <v>2</v>
      </c>
      <c r="G31" s="3">
        <v>128</v>
      </c>
      <c r="H31" s="3" t="s">
        <v>52</v>
      </c>
      <c r="I31" s="3">
        <v>64</v>
      </c>
      <c r="J31" s="3" t="s">
        <v>53</v>
      </c>
      <c r="K31" s="3">
        <v>1706</v>
      </c>
      <c r="L31" s="3" t="s">
        <v>54</v>
      </c>
      <c r="M31" s="3">
        <v>500000</v>
      </c>
      <c r="N31" s="3">
        <v>2</v>
      </c>
      <c r="O31" s="4" t="s">
        <v>183</v>
      </c>
      <c r="P31" s="4" t="s">
        <v>184</v>
      </c>
      <c r="Q31" s="4" t="s">
        <v>185</v>
      </c>
      <c r="R31" s="3">
        <v>300</v>
      </c>
      <c r="S31" s="4" t="s">
        <v>305</v>
      </c>
      <c r="T31" s="4" t="s">
        <v>306</v>
      </c>
      <c r="U31" s="4" t="s">
        <v>307</v>
      </c>
      <c r="V31" s="3">
        <v>351</v>
      </c>
      <c r="W31" s="3">
        <v>428</v>
      </c>
      <c r="X31" s="3">
        <v>86</v>
      </c>
      <c r="Y31" s="3">
        <f>Таблица1[[#This Row],[CPU clocks decoder]]+Таблица1[[#This Row],[CPU clocks ISD 1 iter]]*Таблица1[[#This Row],[Кол-во итераций для DFR=10^(-9)]]</f>
        <v>26228</v>
      </c>
      <c r="Z31" s="3">
        <f>Таблица1[[#This Row],[CPU clocks decoder]]+Таблица1[[#This Row],[Кол-во итераций для DFR=10^(-9) теор.]]*Таблица1[[#This Row],[CPU clocks ISD 1 iter]]</f>
        <v>30614</v>
      </c>
      <c r="AA31" s="3">
        <v>1000</v>
      </c>
      <c r="AB31" s="4" t="s">
        <v>437</v>
      </c>
      <c r="AC31" s="3">
        <v>7828</v>
      </c>
    </row>
    <row r="32" spans="2:29" x14ac:dyDescent="0.35">
      <c r="B32" s="3" t="s">
        <v>39</v>
      </c>
      <c r="C32" s="3" t="s">
        <v>51</v>
      </c>
      <c r="D32" s="3">
        <v>7</v>
      </c>
      <c r="E32" s="3">
        <v>7</v>
      </c>
      <c r="F32" s="3">
        <v>2</v>
      </c>
      <c r="G32" s="3">
        <v>128</v>
      </c>
      <c r="H32" s="3" t="s">
        <v>52</v>
      </c>
      <c r="I32" s="3">
        <v>65</v>
      </c>
      <c r="J32" s="3" t="s">
        <v>55</v>
      </c>
      <c r="K32" s="3">
        <v>1706</v>
      </c>
      <c r="L32" s="3" t="s">
        <v>54</v>
      </c>
      <c r="M32" s="3">
        <v>500000</v>
      </c>
      <c r="N32" s="3">
        <v>2</v>
      </c>
      <c r="O32" s="4" t="s">
        <v>183</v>
      </c>
      <c r="P32" s="4" t="s">
        <v>186</v>
      </c>
      <c r="Q32" s="4" t="s">
        <v>187</v>
      </c>
      <c r="R32" s="3">
        <v>122</v>
      </c>
      <c r="S32" s="4" t="s">
        <v>305</v>
      </c>
      <c r="T32" s="4" t="s">
        <v>308</v>
      </c>
      <c r="U32" s="4" t="s">
        <v>309</v>
      </c>
      <c r="V32" s="3">
        <v>147</v>
      </c>
      <c r="W32" s="3">
        <v>430</v>
      </c>
      <c r="X32" s="3">
        <v>86</v>
      </c>
      <c r="Y32" s="3">
        <f>Таблица1[[#This Row],[CPU clocks decoder]]+Таблица1[[#This Row],[CPU clocks ISD 1 iter]]*Таблица1[[#This Row],[Кол-во итераций для DFR=10^(-9)]]</f>
        <v>10922</v>
      </c>
      <c r="Z32" s="3">
        <f>Таблица1[[#This Row],[CPU clocks decoder]]+Таблица1[[#This Row],[Кол-во итераций для DFR=10^(-9) теор.]]*Таблица1[[#This Row],[CPU clocks ISD 1 iter]]</f>
        <v>13072</v>
      </c>
      <c r="AA32" s="3">
        <v>663</v>
      </c>
      <c r="AB32" s="4" t="s">
        <v>437</v>
      </c>
      <c r="AC32" s="3">
        <v>7860</v>
      </c>
    </row>
    <row r="33" spans="2:29" x14ac:dyDescent="0.35">
      <c r="B33" s="3" t="s">
        <v>39</v>
      </c>
      <c r="C33" s="3" t="s">
        <v>51</v>
      </c>
      <c r="D33" s="3">
        <v>7</v>
      </c>
      <c r="E33" s="3">
        <v>7</v>
      </c>
      <c r="F33" s="3">
        <v>2</v>
      </c>
      <c r="G33" s="3">
        <v>128</v>
      </c>
      <c r="H33" s="3" t="s">
        <v>52</v>
      </c>
      <c r="I33" s="3">
        <v>66</v>
      </c>
      <c r="J33" s="3" t="s">
        <v>56</v>
      </c>
      <c r="K33" s="3">
        <v>1706</v>
      </c>
      <c r="L33" s="3" t="s">
        <v>54</v>
      </c>
      <c r="M33" s="3">
        <v>500000</v>
      </c>
      <c r="N33" s="3">
        <v>2</v>
      </c>
      <c r="O33" s="4" t="s">
        <v>183</v>
      </c>
      <c r="P33" s="4" t="s">
        <v>188</v>
      </c>
      <c r="Q33" s="4" t="s">
        <v>189</v>
      </c>
      <c r="R33" s="3">
        <v>84</v>
      </c>
      <c r="S33" s="4" t="s">
        <v>305</v>
      </c>
      <c r="T33" s="4" t="s">
        <v>310</v>
      </c>
      <c r="U33" s="4" t="s">
        <v>311</v>
      </c>
      <c r="V33" s="3">
        <v>103</v>
      </c>
      <c r="W33" s="3">
        <v>422</v>
      </c>
      <c r="X33" s="3">
        <v>89</v>
      </c>
      <c r="Y33" s="3">
        <f>Таблица1[[#This Row],[CPU clocks decoder]]+Таблица1[[#This Row],[CPU clocks ISD 1 iter]]*Таблица1[[#This Row],[Кол-во итераций для DFR=10^(-9)]]</f>
        <v>7898</v>
      </c>
      <c r="Z33" s="3">
        <f>Таблица1[[#This Row],[CPU clocks decoder]]+Таблица1[[#This Row],[Кол-во итераций для DFR=10^(-9) теор.]]*Таблица1[[#This Row],[CPU clocks ISD 1 iter]]</f>
        <v>9589</v>
      </c>
      <c r="AA33" s="3">
        <v>585</v>
      </c>
      <c r="AB33" s="4" t="s">
        <v>437</v>
      </c>
      <c r="AC33" s="3">
        <v>7860</v>
      </c>
    </row>
    <row r="34" spans="2:29" x14ac:dyDescent="0.35">
      <c r="B34" s="5" t="s">
        <v>39</v>
      </c>
      <c r="C34" s="5" t="s">
        <v>57</v>
      </c>
      <c r="D34" s="5">
        <v>5</v>
      </c>
      <c r="E34" s="5">
        <v>9</v>
      </c>
      <c r="F34" s="5">
        <v>2</v>
      </c>
      <c r="G34" s="5">
        <v>32</v>
      </c>
      <c r="H34" s="5" t="s">
        <v>58</v>
      </c>
      <c r="I34" s="5">
        <v>26</v>
      </c>
      <c r="J34" s="5" t="s">
        <v>59</v>
      </c>
      <c r="K34" s="5">
        <v>3830</v>
      </c>
      <c r="L34" s="5" t="s">
        <v>60</v>
      </c>
      <c r="M34" s="5">
        <v>500000</v>
      </c>
      <c r="N34" s="5">
        <v>1</v>
      </c>
      <c r="O34" s="6" t="s">
        <v>162</v>
      </c>
      <c r="P34" s="6" t="s">
        <v>163</v>
      </c>
      <c r="Q34" s="6" t="s">
        <v>164</v>
      </c>
      <c r="R34" s="5">
        <v>130</v>
      </c>
      <c r="S34" s="6" t="s">
        <v>312</v>
      </c>
      <c r="T34" s="6" t="s">
        <v>313</v>
      </c>
      <c r="U34" s="6" t="s">
        <v>314</v>
      </c>
      <c r="V34" s="5">
        <v>264</v>
      </c>
      <c r="W34" s="5">
        <v>1725</v>
      </c>
      <c r="X34" s="5">
        <v>49</v>
      </c>
      <c r="Y34" s="5">
        <f>Таблица1[[#This Row],[CPU clocks decoder]]+Таблица1[[#This Row],[CPU clocks ISD 1 iter]]*Таблица1[[#This Row],[Кол-во итераций для DFR=10^(-9)]]</f>
        <v>8095</v>
      </c>
      <c r="Z34" s="5">
        <f>Таблица1[[#This Row],[CPU clocks decoder]]+Таблица1[[#This Row],[Кол-во итераций для DFR=10^(-9) теор.]]*Таблица1[[#This Row],[CPU clocks ISD 1 iter]]</f>
        <v>14661</v>
      </c>
      <c r="AA34" s="5">
        <v>1825</v>
      </c>
      <c r="AB34" s="6" t="s">
        <v>435</v>
      </c>
      <c r="AC34" s="5">
        <v>2907</v>
      </c>
    </row>
    <row r="35" spans="2:29" x14ac:dyDescent="0.35">
      <c r="B35" s="5" t="s">
        <v>39</v>
      </c>
      <c r="C35" s="5" t="s">
        <v>57</v>
      </c>
      <c r="D35" s="5">
        <v>5</v>
      </c>
      <c r="E35" s="5">
        <v>9</v>
      </c>
      <c r="F35" s="5">
        <v>2</v>
      </c>
      <c r="G35" s="5">
        <v>32</v>
      </c>
      <c r="H35" s="5" t="s">
        <v>58</v>
      </c>
      <c r="I35" s="5">
        <v>27</v>
      </c>
      <c r="J35" s="5" t="s">
        <v>61</v>
      </c>
      <c r="K35" s="5">
        <v>3830</v>
      </c>
      <c r="L35" s="5" t="s">
        <v>60</v>
      </c>
      <c r="M35" s="5">
        <v>500000</v>
      </c>
      <c r="N35" s="5">
        <v>1</v>
      </c>
      <c r="O35" s="6" t="s">
        <v>162</v>
      </c>
      <c r="P35" s="6" t="s">
        <v>165</v>
      </c>
      <c r="Q35" s="6" t="s">
        <v>166</v>
      </c>
      <c r="R35" s="5">
        <v>92</v>
      </c>
      <c r="S35" s="6" t="s">
        <v>312</v>
      </c>
      <c r="T35" s="6" t="s">
        <v>315</v>
      </c>
      <c r="U35" s="6" t="s">
        <v>316</v>
      </c>
      <c r="V35" s="5">
        <v>237</v>
      </c>
      <c r="W35" s="5">
        <v>1706</v>
      </c>
      <c r="X35" s="5">
        <v>50</v>
      </c>
      <c r="Y35" s="5">
        <f>Таблица1[[#This Row],[CPU clocks decoder]]+Таблица1[[#This Row],[CPU clocks ISD 1 iter]]*Таблица1[[#This Row],[Кол-во итераций для DFR=10^(-9)]]</f>
        <v>6306</v>
      </c>
      <c r="Z35" s="5">
        <f>Таблица1[[#This Row],[CPU clocks decoder]]+Таблица1[[#This Row],[Кол-во итераций для DFR=10^(-9) теор.]]*Таблица1[[#This Row],[CPU clocks ISD 1 iter]]</f>
        <v>13556</v>
      </c>
      <c r="AA35" s="5">
        <v>1767</v>
      </c>
      <c r="AB35" s="6" t="s">
        <v>435</v>
      </c>
      <c r="AC35" s="5">
        <v>2922</v>
      </c>
    </row>
    <row r="36" spans="2:29" x14ac:dyDescent="0.35">
      <c r="B36" s="5" t="s">
        <v>39</v>
      </c>
      <c r="C36" s="5" t="s">
        <v>57</v>
      </c>
      <c r="D36" s="5">
        <v>5</v>
      </c>
      <c r="E36" s="5">
        <v>9</v>
      </c>
      <c r="F36" s="5">
        <v>2</v>
      </c>
      <c r="G36" s="5">
        <v>32</v>
      </c>
      <c r="H36" s="5" t="s">
        <v>58</v>
      </c>
      <c r="I36" s="5">
        <v>28</v>
      </c>
      <c r="J36" s="5" t="s">
        <v>62</v>
      </c>
      <c r="K36" s="5">
        <v>3830</v>
      </c>
      <c r="L36" s="5" t="s">
        <v>60</v>
      </c>
      <c r="M36" s="5">
        <v>500000</v>
      </c>
      <c r="N36" s="5">
        <v>1</v>
      </c>
      <c r="O36" s="6" t="s">
        <v>162</v>
      </c>
      <c r="P36" s="6" t="s">
        <v>167</v>
      </c>
      <c r="Q36" s="6" t="s">
        <v>168</v>
      </c>
      <c r="R36" s="5">
        <v>98</v>
      </c>
      <c r="S36" s="6" t="s">
        <v>312</v>
      </c>
      <c r="T36" s="6" t="s">
        <v>317</v>
      </c>
      <c r="U36" s="6" t="s">
        <v>318</v>
      </c>
      <c r="V36" s="5">
        <v>339</v>
      </c>
      <c r="W36" s="5">
        <v>1707</v>
      </c>
      <c r="X36" s="5">
        <v>51</v>
      </c>
      <c r="Y36" s="5">
        <f>Таблица1[[#This Row],[CPU clocks decoder]]+Таблица1[[#This Row],[CPU clocks ISD 1 iter]]*Таблица1[[#This Row],[Кол-во итераций для DFR=10^(-9)]]</f>
        <v>6705</v>
      </c>
      <c r="Z36" s="5">
        <f>Таблица1[[#This Row],[CPU clocks decoder]]+Таблица1[[#This Row],[Кол-во итераций для DFR=10^(-9) теор.]]*Таблица1[[#This Row],[CPU clocks ISD 1 iter]]</f>
        <v>18996</v>
      </c>
      <c r="AA36" s="5">
        <v>1761</v>
      </c>
      <c r="AB36" s="6" t="s">
        <v>435</v>
      </c>
      <c r="AC36" s="5">
        <v>2907</v>
      </c>
    </row>
    <row r="37" spans="2:29" x14ac:dyDescent="0.35">
      <c r="B37" s="3" t="s">
        <v>63</v>
      </c>
      <c r="C37" s="3" t="s">
        <v>64</v>
      </c>
      <c r="D37" s="3">
        <v>5</v>
      </c>
      <c r="E37" s="3">
        <v>8</v>
      </c>
      <c r="F37" s="3">
        <v>3</v>
      </c>
      <c r="G37" s="3">
        <v>32</v>
      </c>
      <c r="H37" s="3" t="s">
        <v>65</v>
      </c>
      <c r="I37" s="3">
        <v>26</v>
      </c>
      <c r="J37" s="3" t="s">
        <v>66</v>
      </c>
      <c r="K37" s="3">
        <v>612</v>
      </c>
      <c r="L37" s="3" t="s">
        <v>242</v>
      </c>
      <c r="M37" s="3">
        <v>50000</v>
      </c>
      <c r="N37" s="3">
        <v>1</v>
      </c>
      <c r="O37" s="4" t="s">
        <v>270</v>
      </c>
      <c r="P37" s="4" t="s">
        <v>271</v>
      </c>
      <c r="Q37" s="4" t="s">
        <v>272</v>
      </c>
      <c r="R37" s="3">
        <v>156</v>
      </c>
      <c r="S37" s="4" t="s">
        <v>340</v>
      </c>
      <c r="T37" s="4" t="s">
        <v>341</v>
      </c>
      <c r="U37" s="4" t="s">
        <v>342</v>
      </c>
      <c r="V37" s="3">
        <v>901</v>
      </c>
      <c r="W37" s="3">
        <v>43635</v>
      </c>
      <c r="X37" s="3">
        <v>208</v>
      </c>
      <c r="Y37" s="3">
        <f>Таблица1[[#This Row],[CPU clocks decoder]]+Таблица1[[#This Row],[CPU clocks ISD 1 iter]]*Таблица1[[#This Row],[Кол-во итераций для DFR=10^(-9)]]</f>
        <v>76083</v>
      </c>
      <c r="Z37" s="3">
        <f>Таблица1[[#This Row],[CPU clocks decoder]]+Таблица1[[#This Row],[Кол-во итераций для DFR=10^(-9) теор.]]*Таблица1[[#This Row],[CPU clocks ISD 1 iter]]</f>
        <v>231043</v>
      </c>
      <c r="AA37" s="3">
        <v>44068</v>
      </c>
      <c r="AB37" s="4" t="s">
        <v>436</v>
      </c>
      <c r="AC37" s="3">
        <v>43597</v>
      </c>
    </row>
    <row r="38" spans="2:29" x14ac:dyDescent="0.35">
      <c r="B38" s="3" t="s">
        <v>63</v>
      </c>
      <c r="C38" s="3" t="s">
        <v>64</v>
      </c>
      <c r="D38" s="3">
        <v>5</v>
      </c>
      <c r="E38" s="3">
        <v>8</v>
      </c>
      <c r="F38" s="3">
        <v>3</v>
      </c>
      <c r="G38" s="3">
        <v>32</v>
      </c>
      <c r="H38" s="3" t="s">
        <v>65</v>
      </c>
      <c r="I38" s="3">
        <v>27</v>
      </c>
      <c r="J38" s="3" t="s">
        <v>67</v>
      </c>
      <c r="K38" s="3">
        <v>612</v>
      </c>
      <c r="L38" s="3" t="s">
        <v>242</v>
      </c>
      <c r="M38" s="3">
        <v>50000</v>
      </c>
      <c r="N38" s="3">
        <v>1</v>
      </c>
      <c r="O38" s="4" t="s">
        <v>270</v>
      </c>
      <c r="P38" s="4" t="s">
        <v>273</v>
      </c>
      <c r="Q38" s="4" t="s">
        <v>274</v>
      </c>
      <c r="R38" s="3">
        <v>108</v>
      </c>
      <c r="S38" s="4" t="s">
        <v>340</v>
      </c>
      <c r="T38" s="4" t="s">
        <v>343</v>
      </c>
      <c r="U38" s="4" t="s">
        <v>344</v>
      </c>
      <c r="V38" s="3">
        <v>1059</v>
      </c>
      <c r="W38" s="3">
        <v>43615</v>
      </c>
      <c r="X38" s="3">
        <v>206</v>
      </c>
      <c r="Y38" s="3">
        <f>Таблица1[[#This Row],[CPU clocks decoder]]+Таблица1[[#This Row],[CPU clocks ISD 1 iter]]*Таблица1[[#This Row],[Кол-во итераций для DFR=10^(-9)]]</f>
        <v>65863</v>
      </c>
      <c r="Z38" s="3">
        <f>Таблица1[[#This Row],[CPU clocks decoder]]+Таблица1[[#This Row],[Кол-во итераций для DFR=10^(-9) теор.]]*Таблица1[[#This Row],[CPU clocks ISD 1 iter]]</f>
        <v>261769</v>
      </c>
      <c r="AA38" s="3">
        <v>43869</v>
      </c>
      <c r="AB38" s="4" t="s">
        <v>436</v>
      </c>
      <c r="AC38" s="3">
        <v>44753</v>
      </c>
    </row>
    <row r="39" spans="2:29" x14ac:dyDescent="0.35">
      <c r="B39" s="3" t="s">
        <v>63</v>
      </c>
      <c r="C39" s="3" t="s">
        <v>64</v>
      </c>
      <c r="D39" s="3">
        <v>5</v>
      </c>
      <c r="E39" s="3">
        <v>8</v>
      </c>
      <c r="F39" s="3">
        <v>3</v>
      </c>
      <c r="G39" s="3">
        <v>32</v>
      </c>
      <c r="H39" s="3" t="s">
        <v>65</v>
      </c>
      <c r="I39" s="3">
        <v>28</v>
      </c>
      <c r="J39" s="3" t="s">
        <v>68</v>
      </c>
      <c r="K39" s="3">
        <v>612</v>
      </c>
      <c r="L39" s="3" t="s">
        <v>242</v>
      </c>
      <c r="M39" s="3">
        <v>50000</v>
      </c>
      <c r="N39" s="3">
        <v>1</v>
      </c>
      <c r="O39" s="4" t="s">
        <v>270</v>
      </c>
      <c r="P39" s="4" t="s">
        <v>275</v>
      </c>
      <c r="Q39" s="4" t="s">
        <v>276</v>
      </c>
      <c r="R39" s="3">
        <v>117</v>
      </c>
      <c r="S39" s="4" t="s">
        <v>340</v>
      </c>
      <c r="T39" s="4" t="s">
        <v>345</v>
      </c>
      <c r="U39" s="4" t="s">
        <v>346</v>
      </c>
      <c r="V39" s="3">
        <v>2270</v>
      </c>
      <c r="W39" s="3">
        <v>43114</v>
      </c>
      <c r="X39" s="3">
        <v>180</v>
      </c>
      <c r="Y39" s="3">
        <f>Таблица1[[#This Row],[CPU clocks decoder]]+Таблица1[[#This Row],[CPU clocks ISD 1 iter]]*Таблица1[[#This Row],[Кол-во итераций для DFR=10^(-9)]]</f>
        <v>64174</v>
      </c>
      <c r="Z39" s="3">
        <f>Таблица1[[#This Row],[CPU clocks decoder]]+Таблица1[[#This Row],[Кол-во итераций для DFR=10^(-9) теор.]]*Таблица1[[#This Row],[CPU clocks ISD 1 iter]]</f>
        <v>451714</v>
      </c>
      <c r="AA39" s="3">
        <v>43306</v>
      </c>
      <c r="AB39" s="4" t="s">
        <v>436</v>
      </c>
      <c r="AC39" s="3">
        <v>42972</v>
      </c>
    </row>
    <row r="40" spans="2:29" x14ac:dyDescent="0.35">
      <c r="B40" s="3" t="s">
        <v>69</v>
      </c>
      <c r="C40" s="3" t="s">
        <v>70</v>
      </c>
      <c r="D40" s="3">
        <v>5</v>
      </c>
      <c r="E40" s="3">
        <v>8</v>
      </c>
      <c r="F40" s="3">
        <v>3</v>
      </c>
      <c r="G40" s="3">
        <v>32</v>
      </c>
      <c r="H40" s="3" t="s">
        <v>71</v>
      </c>
      <c r="I40" s="3">
        <v>26</v>
      </c>
      <c r="J40" s="3" t="s">
        <v>72</v>
      </c>
      <c r="K40" s="3">
        <v>612</v>
      </c>
      <c r="L40" s="3" t="s">
        <v>243</v>
      </c>
      <c r="M40" s="3">
        <v>50000</v>
      </c>
      <c r="N40" s="3">
        <v>1</v>
      </c>
      <c r="O40" s="4" t="s">
        <v>270</v>
      </c>
      <c r="P40" s="4" t="s">
        <v>284</v>
      </c>
      <c r="Q40" s="4" t="s">
        <v>285</v>
      </c>
      <c r="R40" s="3">
        <v>156</v>
      </c>
      <c r="S40" s="4" t="s">
        <v>340</v>
      </c>
      <c r="T40" s="4" t="s">
        <v>347</v>
      </c>
      <c r="U40" s="4" t="s">
        <v>348</v>
      </c>
      <c r="V40" s="3">
        <v>901</v>
      </c>
      <c r="W40" s="3">
        <v>44601</v>
      </c>
      <c r="X40" s="3">
        <v>193</v>
      </c>
      <c r="Y40" s="3">
        <f>Таблица1[[#This Row],[CPU clocks decoder]]+Таблица1[[#This Row],[CPU clocks ISD 1 iter]]*Таблица1[[#This Row],[Кол-во итераций для DFR=10^(-9)]]</f>
        <v>74709</v>
      </c>
      <c r="Z40" s="3">
        <f>Таблица1[[#This Row],[CPU clocks decoder]]+Таблица1[[#This Row],[Кол-во итераций для DFR=10^(-9) теор.]]*Таблица1[[#This Row],[CPU clocks ISD 1 iter]]</f>
        <v>218494</v>
      </c>
      <c r="AA40" s="3">
        <v>45003</v>
      </c>
      <c r="AB40" s="4" t="s">
        <v>436</v>
      </c>
      <c r="AC40" s="3">
        <v>46722</v>
      </c>
    </row>
    <row r="41" spans="2:29" x14ac:dyDescent="0.35">
      <c r="B41" s="3" t="s">
        <v>69</v>
      </c>
      <c r="C41" s="3" t="s">
        <v>70</v>
      </c>
      <c r="D41" s="3">
        <v>5</v>
      </c>
      <c r="E41" s="3">
        <v>8</v>
      </c>
      <c r="F41" s="3">
        <v>3</v>
      </c>
      <c r="G41" s="3">
        <v>32</v>
      </c>
      <c r="H41" s="3" t="s">
        <v>71</v>
      </c>
      <c r="I41" s="3">
        <v>27</v>
      </c>
      <c r="J41" s="3" t="s">
        <v>73</v>
      </c>
      <c r="K41" s="3">
        <v>612</v>
      </c>
      <c r="L41" s="3" t="s">
        <v>243</v>
      </c>
      <c r="M41" s="3">
        <v>50000</v>
      </c>
      <c r="N41" s="3">
        <v>1</v>
      </c>
      <c r="O41" s="4" t="s">
        <v>270</v>
      </c>
      <c r="P41" s="4" t="s">
        <v>286</v>
      </c>
      <c r="Q41" s="4" t="s">
        <v>287</v>
      </c>
      <c r="R41" s="3">
        <v>109</v>
      </c>
      <c r="S41" s="4" t="s">
        <v>340</v>
      </c>
      <c r="T41" s="4" t="s">
        <v>349</v>
      </c>
      <c r="U41" s="4" t="s">
        <v>350</v>
      </c>
      <c r="V41" s="3">
        <v>1062</v>
      </c>
      <c r="W41" s="3">
        <v>44765</v>
      </c>
      <c r="X41" s="3">
        <v>193</v>
      </c>
      <c r="Y41" s="3">
        <f>Таблица1[[#This Row],[CPU clocks decoder]]+Таблица1[[#This Row],[CPU clocks ISD 1 iter]]*Таблица1[[#This Row],[Кол-во итераций для DFR=10^(-9)]]</f>
        <v>65802</v>
      </c>
      <c r="Z41" s="3">
        <f>Таблица1[[#This Row],[CPU clocks decoder]]+Таблица1[[#This Row],[Кол-во итераций для DFR=10^(-9) теор.]]*Таблица1[[#This Row],[CPU clocks ISD 1 iter]]</f>
        <v>249731</v>
      </c>
      <c r="AA41" s="3">
        <v>45004</v>
      </c>
      <c r="AB41" s="4" t="s">
        <v>436</v>
      </c>
      <c r="AC41" s="3">
        <v>44722</v>
      </c>
    </row>
    <row r="42" spans="2:29" x14ac:dyDescent="0.35">
      <c r="B42" s="3" t="s">
        <v>69</v>
      </c>
      <c r="C42" s="3" t="s">
        <v>70</v>
      </c>
      <c r="D42" s="3">
        <v>5</v>
      </c>
      <c r="E42" s="3">
        <v>8</v>
      </c>
      <c r="F42" s="3">
        <v>3</v>
      </c>
      <c r="G42" s="3">
        <v>32</v>
      </c>
      <c r="H42" s="3" t="s">
        <v>71</v>
      </c>
      <c r="I42" s="3">
        <v>28</v>
      </c>
      <c r="J42" s="3" t="s">
        <v>68</v>
      </c>
      <c r="K42" s="3">
        <v>612</v>
      </c>
      <c r="L42" s="3" t="s">
        <v>243</v>
      </c>
      <c r="M42" s="3">
        <v>50000</v>
      </c>
      <c r="N42" s="3">
        <v>1</v>
      </c>
      <c r="O42" s="4" t="s">
        <v>270</v>
      </c>
      <c r="P42" s="4" t="s">
        <v>275</v>
      </c>
      <c r="Q42" s="4" t="s">
        <v>276</v>
      </c>
      <c r="R42" s="3">
        <v>117</v>
      </c>
      <c r="S42" s="4" t="s">
        <v>340</v>
      </c>
      <c r="T42" s="4" t="s">
        <v>345</v>
      </c>
      <c r="U42" s="4" t="s">
        <v>346</v>
      </c>
      <c r="V42" s="3">
        <v>2270</v>
      </c>
      <c r="W42" s="3">
        <v>45051</v>
      </c>
      <c r="X42" s="3">
        <v>192</v>
      </c>
      <c r="Y42" s="3">
        <f>Таблица1[[#This Row],[CPU clocks decoder]]+Таблица1[[#This Row],[CPU clocks ISD 1 iter]]*Таблица1[[#This Row],[Кол-во итераций для DFR=10^(-9)]]</f>
        <v>67515</v>
      </c>
      <c r="Z42" s="3">
        <f>Таблица1[[#This Row],[CPU clocks decoder]]+Таблица1[[#This Row],[Кол-во итераций для DFR=10^(-9) теор.]]*Таблица1[[#This Row],[CPU clocks ISD 1 iter]]</f>
        <v>480891</v>
      </c>
      <c r="AA42" s="3">
        <v>45255</v>
      </c>
      <c r="AB42" s="4" t="s">
        <v>436</v>
      </c>
      <c r="AC42" s="3">
        <v>45019</v>
      </c>
    </row>
    <row r="43" spans="2:29" x14ac:dyDescent="0.35">
      <c r="B43" s="3" t="s">
        <v>39</v>
      </c>
      <c r="C43" s="3" t="s">
        <v>74</v>
      </c>
      <c r="D43" s="3">
        <v>6</v>
      </c>
      <c r="E43" s="3">
        <v>8</v>
      </c>
      <c r="F43" s="3">
        <v>2</v>
      </c>
      <c r="G43" s="3">
        <v>64</v>
      </c>
      <c r="H43" s="3" t="s">
        <v>75</v>
      </c>
      <c r="I43" s="3">
        <v>42</v>
      </c>
      <c r="J43" s="3" t="s">
        <v>76</v>
      </c>
      <c r="K43" s="3">
        <v>3237</v>
      </c>
      <c r="L43" s="3" t="s">
        <v>77</v>
      </c>
      <c r="M43" s="3">
        <v>500000</v>
      </c>
      <c r="N43" s="3">
        <v>4</v>
      </c>
      <c r="O43" s="4" t="s">
        <v>221</v>
      </c>
      <c r="P43" s="4" t="s">
        <v>222</v>
      </c>
      <c r="Q43" s="4" t="s">
        <v>223</v>
      </c>
      <c r="R43" s="3">
        <v>3472</v>
      </c>
      <c r="S43" s="4" t="s">
        <v>377</v>
      </c>
      <c r="T43" s="4" t="s">
        <v>378</v>
      </c>
      <c r="U43" s="4" t="s">
        <v>379</v>
      </c>
      <c r="V43" s="3">
        <v>6920</v>
      </c>
      <c r="W43" s="3">
        <v>868</v>
      </c>
      <c r="X43" s="3">
        <v>62</v>
      </c>
      <c r="Y43" s="3">
        <f>Таблица1[[#This Row],[CPU clocks decoder]]+Таблица1[[#This Row],[CPU clocks ISD 1 iter]]*Таблица1[[#This Row],[Кол-во итераций для DFR=10^(-9)]]</f>
        <v>216132</v>
      </c>
      <c r="Z43" s="3">
        <f>Таблица1[[#This Row],[CPU clocks decoder]]+Таблица1[[#This Row],[Кол-во итераций для DFR=10^(-9) теор.]]*Таблица1[[#This Row],[CPU clocks ISD 1 iter]]</f>
        <v>429908</v>
      </c>
      <c r="AA43" s="3">
        <v>1236</v>
      </c>
      <c r="AB43" s="4" t="s">
        <v>438</v>
      </c>
      <c r="AC43" s="3">
        <v>3156</v>
      </c>
    </row>
    <row r="44" spans="2:29" x14ac:dyDescent="0.35">
      <c r="B44" s="3" t="s">
        <v>39</v>
      </c>
      <c r="C44" s="3" t="s">
        <v>74</v>
      </c>
      <c r="D44" s="3">
        <v>6</v>
      </c>
      <c r="E44" s="3">
        <v>8</v>
      </c>
      <c r="F44" s="3">
        <v>2</v>
      </c>
      <c r="G44" s="3">
        <v>64</v>
      </c>
      <c r="H44" s="3" t="s">
        <v>75</v>
      </c>
      <c r="I44" s="3">
        <v>43</v>
      </c>
      <c r="J44" s="3" t="s">
        <v>78</v>
      </c>
      <c r="K44" s="3">
        <v>3237</v>
      </c>
      <c r="L44" s="3" t="s">
        <v>77</v>
      </c>
      <c r="M44" s="3">
        <v>500000</v>
      </c>
      <c r="N44" s="3">
        <v>4</v>
      </c>
      <c r="O44" s="4" t="s">
        <v>221</v>
      </c>
      <c r="P44" s="4" t="s">
        <v>224</v>
      </c>
      <c r="Q44" s="4" t="s">
        <v>225</v>
      </c>
      <c r="R44" s="3">
        <v>1924</v>
      </c>
      <c r="S44" s="4" t="s">
        <v>377</v>
      </c>
      <c r="T44" s="4" t="s">
        <v>380</v>
      </c>
      <c r="U44" s="4" t="s">
        <v>381</v>
      </c>
      <c r="V44" s="3">
        <v>4099</v>
      </c>
      <c r="W44" s="3">
        <v>867</v>
      </c>
      <c r="X44" s="3">
        <v>68</v>
      </c>
      <c r="Y44" s="3">
        <f>Таблица1[[#This Row],[CPU clocks decoder]]+Таблица1[[#This Row],[CPU clocks ISD 1 iter]]*Таблица1[[#This Row],[Кол-во итераций для DFR=10^(-9)]]</f>
        <v>131699</v>
      </c>
      <c r="Z44" s="3">
        <f>Таблица1[[#This Row],[CPU clocks decoder]]+Таблица1[[#This Row],[Кол-во итераций для DFR=10^(-9) теор.]]*Таблица1[[#This Row],[CPU clocks ISD 1 iter]]</f>
        <v>279599</v>
      </c>
      <c r="AA44" s="3">
        <v>1053</v>
      </c>
      <c r="AB44" s="4" t="s">
        <v>438</v>
      </c>
      <c r="AC44" s="3">
        <v>3172</v>
      </c>
    </row>
    <row r="45" spans="2:29" x14ac:dyDescent="0.35">
      <c r="B45" s="3" t="s">
        <v>39</v>
      </c>
      <c r="C45" s="3" t="s">
        <v>74</v>
      </c>
      <c r="D45" s="3">
        <v>6</v>
      </c>
      <c r="E45" s="3">
        <v>8</v>
      </c>
      <c r="F45" s="3">
        <v>2</v>
      </c>
      <c r="G45" s="3">
        <v>64</v>
      </c>
      <c r="H45" s="3" t="s">
        <v>75</v>
      </c>
      <c r="I45" s="3">
        <v>44</v>
      </c>
      <c r="J45" s="3" t="s">
        <v>79</v>
      </c>
      <c r="K45" s="3">
        <v>3237</v>
      </c>
      <c r="L45" s="3" t="s">
        <v>77</v>
      </c>
      <c r="M45" s="3">
        <v>500000</v>
      </c>
      <c r="N45" s="3">
        <v>4</v>
      </c>
      <c r="O45" s="4" t="s">
        <v>221</v>
      </c>
      <c r="P45" s="4" t="s">
        <v>226</v>
      </c>
      <c r="Q45" s="4" t="s">
        <v>227</v>
      </c>
      <c r="R45" s="3">
        <v>1636</v>
      </c>
      <c r="S45" s="4" t="s">
        <v>377</v>
      </c>
      <c r="T45" s="4" t="s">
        <v>382</v>
      </c>
      <c r="U45" s="4" t="s">
        <v>383</v>
      </c>
      <c r="V45" s="3">
        <v>3742</v>
      </c>
      <c r="W45" s="3">
        <v>864</v>
      </c>
      <c r="X45" s="3">
        <v>67</v>
      </c>
      <c r="Y45" s="3">
        <f>Таблица1[[#This Row],[CPU clocks decoder]]+Таблица1[[#This Row],[CPU clocks ISD 1 iter]]*Таблица1[[#This Row],[Кол-во итераций для DFR=10^(-9)]]</f>
        <v>110476</v>
      </c>
      <c r="Z45" s="3">
        <f>Таблица1[[#This Row],[CPU clocks decoder]]+Таблица1[[#This Row],[Кол-во итераций для DFR=10^(-9) теор.]]*Таблица1[[#This Row],[CPU clocks ISD 1 iter]]</f>
        <v>251578</v>
      </c>
      <c r="AA45" s="3">
        <v>993</v>
      </c>
      <c r="AB45" s="4" t="s">
        <v>438</v>
      </c>
      <c r="AC45" s="3">
        <v>3204</v>
      </c>
    </row>
    <row r="46" spans="2:29" x14ac:dyDescent="0.35">
      <c r="B46" s="3" t="s">
        <v>80</v>
      </c>
      <c r="C46" s="3" t="s">
        <v>81</v>
      </c>
      <c r="D46" s="3">
        <v>7</v>
      </c>
      <c r="E46" s="3">
        <v>7</v>
      </c>
      <c r="F46" s="3">
        <v>2</v>
      </c>
      <c r="G46" s="3">
        <v>128</v>
      </c>
      <c r="H46" s="3" t="s">
        <v>82</v>
      </c>
      <c r="I46" s="3">
        <v>64</v>
      </c>
      <c r="J46" s="3" t="s">
        <v>83</v>
      </c>
      <c r="K46" s="3">
        <v>1706</v>
      </c>
      <c r="L46" s="3" t="s">
        <v>84</v>
      </c>
      <c r="M46" s="3">
        <v>500000</v>
      </c>
      <c r="N46" s="3">
        <v>2</v>
      </c>
      <c r="O46" s="4" t="s">
        <v>183</v>
      </c>
      <c r="P46" s="4" t="s">
        <v>190</v>
      </c>
      <c r="Q46" s="4" t="s">
        <v>191</v>
      </c>
      <c r="R46" s="3">
        <v>287</v>
      </c>
      <c r="S46" s="4" t="s">
        <v>305</v>
      </c>
      <c r="T46" s="4" t="s">
        <v>365</v>
      </c>
      <c r="U46" s="4" t="s">
        <v>366</v>
      </c>
      <c r="V46" s="3">
        <v>336</v>
      </c>
      <c r="W46" s="3">
        <v>423</v>
      </c>
      <c r="X46" s="3">
        <v>131</v>
      </c>
      <c r="Y46" s="3">
        <f>Таблица1[[#This Row],[CPU clocks decoder]]+Таблица1[[#This Row],[CPU clocks ISD 1 iter]]*Таблица1[[#This Row],[Кол-во итераций для DFR=10^(-9)]]</f>
        <v>38020</v>
      </c>
      <c r="Z46" s="3">
        <f>Таблица1[[#This Row],[CPU clocks decoder]]+Таблица1[[#This Row],[Кол-во итераций для DFR=10^(-9) теор.]]*Таблица1[[#This Row],[CPU clocks ISD 1 iter]]</f>
        <v>44439</v>
      </c>
      <c r="AA46" s="3">
        <v>1256</v>
      </c>
      <c r="AB46" s="4" t="s">
        <v>437</v>
      </c>
      <c r="AC46" s="3">
        <v>7985</v>
      </c>
    </row>
    <row r="47" spans="2:29" x14ac:dyDescent="0.35">
      <c r="B47" s="3" t="s">
        <v>80</v>
      </c>
      <c r="C47" s="3" t="s">
        <v>81</v>
      </c>
      <c r="D47" s="3">
        <v>7</v>
      </c>
      <c r="E47" s="3">
        <v>7</v>
      </c>
      <c r="F47" s="3">
        <v>2</v>
      </c>
      <c r="G47" s="3">
        <v>128</v>
      </c>
      <c r="H47" s="3" t="s">
        <v>82</v>
      </c>
      <c r="I47" s="3">
        <v>65</v>
      </c>
      <c r="J47" s="3" t="s">
        <v>85</v>
      </c>
      <c r="K47" s="3">
        <v>1706</v>
      </c>
      <c r="L47" s="3" t="s">
        <v>84</v>
      </c>
      <c r="M47" s="3">
        <v>500000</v>
      </c>
      <c r="N47" s="3">
        <v>2</v>
      </c>
      <c r="O47" s="4" t="s">
        <v>183</v>
      </c>
      <c r="P47" s="4" t="s">
        <v>192</v>
      </c>
      <c r="Q47" s="4" t="s">
        <v>193</v>
      </c>
      <c r="R47" s="3">
        <v>126</v>
      </c>
      <c r="S47" s="4" t="s">
        <v>305</v>
      </c>
      <c r="T47" s="4" t="s">
        <v>367</v>
      </c>
      <c r="U47" s="4" t="s">
        <v>368</v>
      </c>
      <c r="V47" s="3">
        <v>151</v>
      </c>
      <c r="W47" s="3">
        <v>422</v>
      </c>
      <c r="X47" s="3">
        <v>131</v>
      </c>
      <c r="Y47" s="3">
        <f>Таблица1[[#This Row],[CPU clocks decoder]]+Таблица1[[#This Row],[CPU clocks ISD 1 iter]]*Таблица1[[#This Row],[Кол-во итераций для DFR=10^(-9)]]</f>
        <v>16928</v>
      </c>
      <c r="Z47" s="3">
        <f>Таблица1[[#This Row],[CPU clocks decoder]]+Таблица1[[#This Row],[Кол-во итераций для DFR=10^(-9) теор.]]*Таблица1[[#This Row],[CPU clocks ISD 1 iter]]</f>
        <v>20203</v>
      </c>
      <c r="AA47" s="3">
        <v>786</v>
      </c>
      <c r="AB47" s="4" t="s">
        <v>437</v>
      </c>
      <c r="AC47" s="3">
        <v>8188</v>
      </c>
    </row>
    <row r="48" spans="2:29" x14ac:dyDescent="0.35">
      <c r="B48" s="3" t="s">
        <v>80</v>
      </c>
      <c r="C48" s="3" t="s">
        <v>81</v>
      </c>
      <c r="D48" s="3">
        <v>7</v>
      </c>
      <c r="E48" s="3">
        <v>7</v>
      </c>
      <c r="F48" s="3">
        <v>2</v>
      </c>
      <c r="G48" s="3">
        <v>128</v>
      </c>
      <c r="H48" s="3" t="s">
        <v>82</v>
      </c>
      <c r="I48" s="3">
        <v>66</v>
      </c>
      <c r="J48" s="3" t="s">
        <v>86</v>
      </c>
      <c r="K48" s="3">
        <v>1706</v>
      </c>
      <c r="L48" s="3" t="s">
        <v>84</v>
      </c>
      <c r="M48" s="3">
        <v>500000</v>
      </c>
      <c r="N48" s="3">
        <v>2</v>
      </c>
      <c r="O48" s="4" t="s">
        <v>183</v>
      </c>
      <c r="P48" s="4" t="s">
        <v>194</v>
      </c>
      <c r="Q48" s="4" t="s">
        <v>195</v>
      </c>
      <c r="R48" s="3">
        <v>82</v>
      </c>
      <c r="S48" s="4" t="s">
        <v>305</v>
      </c>
      <c r="T48" s="4" t="s">
        <v>369</v>
      </c>
      <c r="U48" s="4" t="s">
        <v>370</v>
      </c>
      <c r="V48" s="3">
        <v>101</v>
      </c>
      <c r="W48" s="3">
        <v>415</v>
      </c>
      <c r="X48" s="3">
        <v>132</v>
      </c>
      <c r="Y48" s="3">
        <f>Таблица1[[#This Row],[CPU clocks decoder]]+Таблица1[[#This Row],[CPU clocks ISD 1 iter]]*Таблица1[[#This Row],[Кол-во итераций для DFR=10^(-9)]]</f>
        <v>11239</v>
      </c>
      <c r="Z48" s="3">
        <f>Таблица1[[#This Row],[CPU clocks decoder]]+Таблица1[[#This Row],[Кол-во итераций для DFR=10^(-9) теор.]]*Таблица1[[#This Row],[CPU clocks ISD 1 iter]]</f>
        <v>13747</v>
      </c>
      <c r="AA48" s="3">
        <v>653</v>
      </c>
      <c r="AB48" s="4" t="s">
        <v>437</v>
      </c>
      <c r="AC48" s="3">
        <v>8204</v>
      </c>
    </row>
    <row r="49" spans="2:29" x14ac:dyDescent="0.35">
      <c r="B49" s="3" t="s">
        <v>87</v>
      </c>
      <c r="C49" s="3" t="s">
        <v>88</v>
      </c>
      <c r="D49" s="3">
        <v>7</v>
      </c>
      <c r="E49" s="3">
        <v>7</v>
      </c>
      <c r="F49" s="3">
        <v>2</v>
      </c>
      <c r="G49" s="3">
        <v>128</v>
      </c>
      <c r="H49" s="3" t="s">
        <v>89</v>
      </c>
      <c r="I49" s="3">
        <v>99</v>
      </c>
      <c r="J49" s="3" t="s">
        <v>90</v>
      </c>
      <c r="K49" s="3">
        <v>1706</v>
      </c>
      <c r="L49" s="3" t="s">
        <v>92</v>
      </c>
      <c r="M49" s="3">
        <v>500000</v>
      </c>
      <c r="N49" s="3">
        <v>2</v>
      </c>
      <c r="O49" s="4" t="s">
        <v>183</v>
      </c>
      <c r="P49" s="4" t="s">
        <v>196</v>
      </c>
      <c r="Q49" s="4" t="s">
        <v>197</v>
      </c>
      <c r="R49" s="3">
        <v>1307</v>
      </c>
      <c r="S49" s="4" t="s">
        <v>305</v>
      </c>
      <c r="T49" s="4" t="s">
        <v>371</v>
      </c>
      <c r="U49" s="4" t="s">
        <v>372</v>
      </c>
      <c r="V49" s="3">
        <v>3717</v>
      </c>
      <c r="W49" s="3">
        <v>421</v>
      </c>
      <c r="X49" s="3">
        <v>121</v>
      </c>
      <c r="Y49" s="3">
        <f>Таблица1[[#This Row],[CPU clocks decoder]]+Таблица1[[#This Row],[CPU clocks ISD 1 iter]]*Таблица1[[#This Row],[Кол-во итераций для DFR=10^(-9)]]</f>
        <v>158568</v>
      </c>
      <c r="Z49" s="3">
        <f>Таблица1[[#This Row],[CPU clocks decoder]]+Таблица1[[#This Row],[Кол-во итераций для DFR=10^(-9) теор.]]*Таблица1[[#This Row],[CPU clocks ISD 1 iter]]</f>
        <v>450178</v>
      </c>
      <c r="AA49" s="3">
        <v>1141</v>
      </c>
      <c r="AB49" s="4" t="s">
        <v>439</v>
      </c>
      <c r="AC49" s="3">
        <v>127822</v>
      </c>
    </row>
    <row r="50" spans="2:29" x14ac:dyDescent="0.35">
      <c r="B50" s="3" t="s">
        <v>87</v>
      </c>
      <c r="C50" s="3" t="s">
        <v>88</v>
      </c>
      <c r="D50" s="3">
        <v>7</v>
      </c>
      <c r="E50" s="3">
        <v>7</v>
      </c>
      <c r="F50" s="3">
        <v>2</v>
      </c>
      <c r="G50" s="3">
        <v>128</v>
      </c>
      <c r="H50" s="3" t="s">
        <v>89</v>
      </c>
      <c r="I50" s="3">
        <v>100</v>
      </c>
      <c r="J50" s="3" t="s">
        <v>91</v>
      </c>
      <c r="K50" s="3">
        <v>1706</v>
      </c>
      <c r="L50" s="3" t="s">
        <v>92</v>
      </c>
      <c r="M50" s="3">
        <v>500000</v>
      </c>
      <c r="N50" s="3">
        <v>2</v>
      </c>
      <c r="O50" s="4" t="s">
        <v>183</v>
      </c>
      <c r="P50" s="4" t="s">
        <v>198</v>
      </c>
      <c r="Q50" s="4" t="s">
        <v>199</v>
      </c>
      <c r="R50" s="3">
        <v>623</v>
      </c>
      <c r="S50" s="4" t="s">
        <v>305</v>
      </c>
      <c r="T50" s="4" t="s">
        <v>373</v>
      </c>
      <c r="U50" s="4" t="s">
        <v>374</v>
      </c>
      <c r="V50" s="3">
        <v>1861</v>
      </c>
      <c r="W50" s="3">
        <v>429</v>
      </c>
      <c r="X50" s="3">
        <v>120</v>
      </c>
      <c r="Y50" s="3">
        <f>Таблица1[[#This Row],[CPU clocks decoder]]+Таблица1[[#This Row],[CPU clocks ISD 1 iter]]*Таблица1[[#This Row],[Кол-во итераций для DFR=10^(-9)]]</f>
        <v>75189</v>
      </c>
      <c r="Z50" s="3">
        <f>Таблица1[[#This Row],[CPU clocks decoder]]+Таблица1[[#This Row],[Кол-во итераций для DFR=10^(-9) теор.]]*Таблица1[[#This Row],[CPU clocks ISD 1 iter]]</f>
        <v>223749</v>
      </c>
      <c r="AA50" s="3">
        <v>749</v>
      </c>
      <c r="AB50" s="4" t="s">
        <v>439</v>
      </c>
      <c r="AC50" s="3">
        <v>129603</v>
      </c>
    </row>
    <row r="51" spans="2:29" x14ac:dyDescent="0.35">
      <c r="B51" s="3" t="s">
        <v>87</v>
      </c>
      <c r="C51" s="3" t="s">
        <v>88</v>
      </c>
      <c r="D51" s="3">
        <v>7</v>
      </c>
      <c r="E51" s="3">
        <v>7</v>
      </c>
      <c r="F51" s="3">
        <v>2</v>
      </c>
      <c r="G51" s="3">
        <v>128</v>
      </c>
      <c r="H51" s="3" t="s">
        <v>89</v>
      </c>
      <c r="I51" s="3">
        <v>101</v>
      </c>
      <c r="J51" s="3" t="s">
        <v>93</v>
      </c>
      <c r="K51" s="3">
        <v>1706</v>
      </c>
      <c r="L51" s="3" t="s">
        <v>92</v>
      </c>
      <c r="M51" s="3">
        <v>500000</v>
      </c>
      <c r="N51" s="3">
        <v>2</v>
      </c>
      <c r="O51" s="4" t="s">
        <v>183</v>
      </c>
      <c r="P51" s="4" t="s">
        <v>200</v>
      </c>
      <c r="Q51" s="4" t="s">
        <v>201</v>
      </c>
      <c r="R51" s="3">
        <v>452</v>
      </c>
      <c r="S51" s="4" t="s">
        <v>305</v>
      </c>
      <c r="T51" s="4" t="s">
        <v>375</v>
      </c>
      <c r="U51" s="4" t="s">
        <v>376</v>
      </c>
      <c r="V51" s="3">
        <v>1420</v>
      </c>
      <c r="W51" s="3">
        <v>428</v>
      </c>
      <c r="X51" s="3">
        <v>123</v>
      </c>
      <c r="Y51" s="3">
        <f>Таблица1[[#This Row],[CPU clocks decoder]]+Таблица1[[#This Row],[CPU clocks ISD 1 iter]]*Таблица1[[#This Row],[Кол-во итераций для DFR=10^(-9)]]</f>
        <v>56024</v>
      </c>
      <c r="Z51" s="3">
        <f>Таблица1[[#This Row],[CPU clocks decoder]]+Таблица1[[#This Row],[Кол-во итераций для DFR=10^(-9) теор.]]*Таблица1[[#This Row],[CPU clocks ISD 1 iter]]</f>
        <v>175088</v>
      </c>
      <c r="AA51" s="3">
        <v>650</v>
      </c>
      <c r="AB51" s="4" t="s">
        <v>439</v>
      </c>
      <c r="AC51" s="3">
        <v>128915</v>
      </c>
    </row>
    <row r="52" spans="2:29" x14ac:dyDescent="0.35">
      <c r="B52" s="5" t="s">
        <v>39</v>
      </c>
      <c r="C52" s="5" t="s">
        <v>94</v>
      </c>
      <c r="D52" s="5">
        <v>6</v>
      </c>
      <c r="E52" s="5">
        <v>9</v>
      </c>
      <c r="F52" s="5">
        <v>2</v>
      </c>
      <c r="G52" s="5">
        <v>64</v>
      </c>
      <c r="H52" s="5" t="s">
        <v>95</v>
      </c>
      <c r="I52" s="5">
        <v>42</v>
      </c>
      <c r="J52" s="5" t="s">
        <v>96</v>
      </c>
      <c r="K52" s="5">
        <v>7687</v>
      </c>
      <c r="L52" s="5" t="s">
        <v>97</v>
      </c>
      <c r="M52" s="5">
        <v>500000</v>
      </c>
      <c r="N52" s="5">
        <v>1</v>
      </c>
      <c r="O52" s="6" t="s">
        <v>169</v>
      </c>
      <c r="P52" s="6" t="s">
        <v>170</v>
      </c>
      <c r="Q52" s="6" t="s">
        <v>171</v>
      </c>
      <c r="R52" s="5">
        <v>178</v>
      </c>
      <c r="S52" s="6" t="s">
        <v>319</v>
      </c>
      <c r="T52" s="6" t="s">
        <v>320</v>
      </c>
      <c r="U52" s="6" t="s">
        <v>321</v>
      </c>
      <c r="V52" s="5">
        <v>231</v>
      </c>
      <c r="W52" s="5">
        <v>3528</v>
      </c>
      <c r="X52" s="5">
        <v>161</v>
      </c>
      <c r="Y52" s="5">
        <f>Таблица1[[#This Row],[CPU clocks decoder]]+Таблица1[[#This Row],[CPU clocks ISD 1 iter]]*Таблица1[[#This Row],[Кол-во итераций для DFR=10^(-9)]]</f>
        <v>32186</v>
      </c>
      <c r="Z52" s="5">
        <f>Таблица1[[#This Row],[CPU clocks decoder]]+Таблица1[[#This Row],[Кол-во итераций для DFR=10^(-9) теор.]]*Таблица1[[#This Row],[CPU clocks ISD 1 iter]]</f>
        <v>40719</v>
      </c>
      <c r="AA52" s="5">
        <v>4287</v>
      </c>
      <c r="AB52" s="6" t="s">
        <v>440</v>
      </c>
      <c r="AC52" s="5">
        <v>8673</v>
      </c>
    </row>
    <row r="53" spans="2:29" x14ac:dyDescent="0.35">
      <c r="B53" s="5" t="s">
        <v>39</v>
      </c>
      <c r="C53" s="5" t="s">
        <v>94</v>
      </c>
      <c r="D53" s="5">
        <v>6</v>
      </c>
      <c r="E53" s="5">
        <v>9</v>
      </c>
      <c r="F53" s="5">
        <v>2</v>
      </c>
      <c r="G53" s="5">
        <v>64</v>
      </c>
      <c r="H53" s="5" t="s">
        <v>95</v>
      </c>
      <c r="I53" s="5">
        <v>43</v>
      </c>
      <c r="J53" s="5" t="s">
        <v>98</v>
      </c>
      <c r="K53" s="5">
        <v>7687</v>
      </c>
      <c r="L53" s="5" t="s">
        <v>97</v>
      </c>
      <c r="M53" s="5">
        <v>500000</v>
      </c>
      <c r="N53" s="5">
        <v>1</v>
      </c>
      <c r="O53" s="6" t="s">
        <v>169</v>
      </c>
      <c r="P53" s="6" t="s">
        <v>172</v>
      </c>
      <c r="Q53" s="6" t="s">
        <v>173</v>
      </c>
      <c r="R53" s="5">
        <v>81</v>
      </c>
      <c r="S53" s="6" t="s">
        <v>319</v>
      </c>
      <c r="T53" s="6" t="s">
        <v>322</v>
      </c>
      <c r="U53" s="6" t="s">
        <v>323</v>
      </c>
      <c r="V53" s="5">
        <v>113</v>
      </c>
      <c r="W53" s="5">
        <v>3581</v>
      </c>
      <c r="X53" s="5">
        <v>158</v>
      </c>
      <c r="Y53" s="5">
        <f>Таблица1[[#This Row],[CPU clocks decoder]]+Таблица1[[#This Row],[CPU clocks ISD 1 iter]]*Таблица1[[#This Row],[Кол-во итераций для DFR=10^(-9)]]</f>
        <v>16379</v>
      </c>
      <c r="Z53" s="5">
        <f>Таблица1[[#This Row],[CPU clocks decoder]]+Таблица1[[#This Row],[Кол-во итераций для DFR=10^(-9) теор.]]*Таблица1[[#This Row],[CPU clocks ISD 1 iter]]</f>
        <v>21435</v>
      </c>
      <c r="AA53" s="5">
        <v>3919</v>
      </c>
      <c r="AB53" s="6" t="s">
        <v>440</v>
      </c>
      <c r="AC53" s="5">
        <v>8657</v>
      </c>
    </row>
    <row r="54" spans="2:29" x14ac:dyDescent="0.35">
      <c r="B54" s="5" t="s">
        <v>39</v>
      </c>
      <c r="C54" s="5" t="s">
        <v>94</v>
      </c>
      <c r="D54" s="5">
        <v>6</v>
      </c>
      <c r="E54" s="5">
        <v>9</v>
      </c>
      <c r="F54" s="5">
        <v>2</v>
      </c>
      <c r="G54" s="5">
        <v>64</v>
      </c>
      <c r="H54" s="5" t="s">
        <v>95</v>
      </c>
      <c r="I54" s="5">
        <v>44</v>
      </c>
      <c r="J54" s="5" t="s">
        <v>99</v>
      </c>
      <c r="K54" s="5">
        <v>7687</v>
      </c>
      <c r="L54" s="5" t="s">
        <v>97</v>
      </c>
      <c r="M54" s="5">
        <v>500000</v>
      </c>
      <c r="N54" s="5">
        <v>1</v>
      </c>
      <c r="O54" s="6" t="s">
        <v>169</v>
      </c>
      <c r="P54" s="6" t="s">
        <v>174</v>
      </c>
      <c r="Q54" s="6" t="s">
        <v>175</v>
      </c>
      <c r="R54" s="5">
        <v>58</v>
      </c>
      <c r="S54" s="6" t="s">
        <v>319</v>
      </c>
      <c r="T54" s="6" t="s">
        <v>324</v>
      </c>
      <c r="U54" s="6" t="s">
        <v>325</v>
      </c>
      <c r="V54" s="5">
        <v>88</v>
      </c>
      <c r="W54" s="5">
        <v>3535</v>
      </c>
      <c r="X54" s="5">
        <v>158</v>
      </c>
      <c r="Y54" s="5">
        <f>Таблица1[[#This Row],[CPU clocks decoder]]+Таблица1[[#This Row],[CPU clocks ISD 1 iter]]*Таблица1[[#This Row],[Кол-во итераций для DFR=10^(-9)]]</f>
        <v>12699</v>
      </c>
      <c r="Z54" s="5">
        <f>Таблица1[[#This Row],[CPU clocks decoder]]+Таблица1[[#This Row],[Кол-во итераций для DFR=10^(-9) теор.]]*Таблица1[[#This Row],[CPU clocks ISD 1 iter]]</f>
        <v>17439</v>
      </c>
      <c r="AA54" s="5">
        <v>3774</v>
      </c>
      <c r="AB54" s="6" t="s">
        <v>440</v>
      </c>
      <c r="AC54" s="5">
        <v>8641</v>
      </c>
    </row>
    <row r="55" spans="2:29" x14ac:dyDescent="0.35">
      <c r="B55" s="7" t="s">
        <v>39</v>
      </c>
      <c r="C55" s="7" t="s">
        <v>94</v>
      </c>
      <c r="D55" s="7">
        <v>6</v>
      </c>
      <c r="E55" s="7">
        <v>9</v>
      </c>
      <c r="F55" s="7">
        <v>2</v>
      </c>
      <c r="G55" s="7">
        <v>64</v>
      </c>
      <c r="H55" s="7" t="s">
        <v>95</v>
      </c>
      <c r="I55" s="7">
        <v>42</v>
      </c>
      <c r="J55" s="7" t="s">
        <v>96</v>
      </c>
      <c r="K55" s="7">
        <v>7772</v>
      </c>
      <c r="L55" s="7" t="s">
        <v>100</v>
      </c>
      <c r="M55" s="5">
        <v>500000</v>
      </c>
      <c r="N55" s="7">
        <v>2</v>
      </c>
      <c r="O55" s="8" t="s">
        <v>176</v>
      </c>
      <c r="P55" s="8" t="s">
        <v>177</v>
      </c>
      <c r="Q55" s="8" t="s">
        <v>178</v>
      </c>
      <c r="R55" s="7">
        <v>308</v>
      </c>
      <c r="S55" s="6" t="s">
        <v>326</v>
      </c>
      <c r="T55" s="6" t="s">
        <v>327</v>
      </c>
      <c r="U55" s="6" t="s">
        <v>328</v>
      </c>
      <c r="V55" s="5">
        <v>275</v>
      </c>
      <c r="W55" s="5">
        <v>3528</v>
      </c>
      <c r="X55" s="5">
        <v>161</v>
      </c>
      <c r="Y55" s="5">
        <f>Таблица1[[#This Row],[CPU clocks decoder]]+Таблица1[[#This Row],[CPU clocks ISD 1 iter]]*Таблица1[[#This Row],[Кол-во итераций для DFR=10^(-9)]]</f>
        <v>53116</v>
      </c>
      <c r="Z55" s="5">
        <f>Таблица1[[#This Row],[CPU clocks decoder]]+Таблица1[[#This Row],[Кол-во итераций для DFR=10^(-9) теор.]]*Таблица1[[#This Row],[CPU clocks ISD 1 iter]]</f>
        <v>47803</v>
      </c>
      <c r="AA55" s="5">
        <v>4288</v>
      </c>
      <c r="AB55" s="6" t="s">
        <v>441</v>
      </c>
      <c r="AC55" s="5">
        <v>8673</v>
      </c>
    </row>
    <row r="56" spans="2:29" x14ac:dyDescent="0.35">
      <c r="B56" s="7" t="s">
        <v>39</v>
      </c>
      <c r="C56" s="7" t="s">
        <v>94</v>
      </c>
      <c r="D56" s="7">
        <v>6</v>
      </c>
      <c r="E56" s="7">
        <v>9</v>
      </c>
      <c r="F56" s="7">
        <v>2</v>
      </c>
      <c r="G56" s="7">
        <v>64</v>
      </c>
      <c r="H56" s="7" t="s">
        <v>95</v>
      </c>
      <c r="I56" s="7">
        <v>43</v>
      </c>
      <c r="J56" s="7" t="s">
        <v>98</v>
      </c>
      <c r="K56" s="7">
        <v>7772</v>
      </c>
      <c r="L56" s="7" t="s">
        <v>100</v>
      </c>
      <c r="M56" s="5">
        <v>500000</v>
      </c>
      <c r="N56" s="7">
        <v>2</v>
      </c>
      <c r="O56" s="8" t="s">
        <v>176</v>
      </c>
      <c r="P56" s="8" t="s">
        <v>179</v>
      </c>
      <c r="Q56" s="8" t="s">
        <v>180</v>
      </c>
      <c r="R56" s="7">
        <v>151</v>
      </c>
      <c r="S56" s="6" t="s">
        <v>326</v>
      </c>
      <c r="T56" s="6" t="s">
        <v>329</v>
      </c>
      <c r="U56" s="6" t="s">
        <v>330</v>
      </c>
      <c r="V56" s="5">
        <v>135</v>
      </c>
      <c r="W56" s="5">
        <v>3581</v>
      </c>
      <c r="X56" s="5">
        <v>158</v>
      </c>
      <c r="Y56" s="5">
        <f>Таблица1[[#This Row],[CPU clocks decoder]]+Таблица1[[#This Row],[CPU clocks ISD 1 iter]]*Таблица1[[#This Row],[Кол-во итераций для DFR=10^(-9)]]</f>
        <v>27439</v>
      </c>
      <c r="Z56" s="5">
        <f>Таблица1[[#This Row],[CPU clocks decoder]]+Таблица1[[#This Row],[Кол-во итераций для DFR=10^(-9) теор.]]*Таблица1[[#This Row],[CPU clocks ISD 1 iter]]</f>
        <v>24911</v>
      </c>
      <c r="AA56" s="5">
        <v>3919</v>
      </c>
      <c r="AB56" s="6" t="s">
        <v>441</v>
      </c>
      <c r="AC56" s="5">
        <v>8657</v>
      </c>
    </row>
    <row r="57" spans="2:29" x14ac:dyDescent="0.35">
      <c r="B57" s="7" t="s">
        <v>39</v>
      </c>
      <c r="C57" s="7" t="s">
        <v>94</v>
      </c>
      <c r="D57" s="7">
        <v>6</v>
      </c>
      <c r="E57" s="7">
        <v>9</v>
      </c>
      <c r="F57" s="7">
        <v>2</v>
      </c>
      <c r="G57" s="7">
        <v>64</v>
      </c>
      <c r="H57" s="7" t="s">
        <v>95</v>
      </c>
      <c r="I57" s="7">
        <v>44</v>
      </c>
      <c r="J57" s="7" t="s">
        <v>99</v>
      </c>
      <c r="K57" s="7">
        <v>7772</v>
      </c>
      <c r="L57" s="7" t="s">
        <v>100</v>
      </c>
      <c r="M57" s="5">
        <v>500000</v>
      </c>
      <c r="N57" s="7">
        <v>2</v>
      </c>
      <c r="O57" s="8" t="s">
        <v>176</v>
      </c>
      <c r="P57" s="8" t="s">
        <v>181</v>
      </c>
      <c r="Q57" s="8" t="s">
        <v>182</v>
      </c>
      <c r="R57" s="7">
        <v>117</v>
      </c>
      <c r="S57" s="6" t="s">
        <v>326</v>
      </c>
      <c r="T57" s="6" t="s">
        <v>331</v>
      </c>
      <c r="U57" s="6" t="s">
        <v>332</v>
      </c>
      <c r="V57" s="5">
        <v>105</v>
      </c>
      <c r="W57" s="5">
        <v>3535</v>
      </c>
      <c r="X57" s="5">
        <v>158</v>
      </c>
      <c r="Y57" s="5">
        <f>Таблица1[[#This Row],[CPU clocks decoder]]+Таблица1[[#This Row],[CPU clocks ISD 1 iter]]*Таблица1[[#This Row],[Кол-во итераций для DFR=10^(-9)]]</f>
        <v>22021</v>
      </c>
      <c r="Z57" s="5">
        <f>Таблица1[[#This Row],[CPU clocks decoder]]+Таблица1[[#This Row],[Кол-во итераций для DFR=10^(-9) теор.]]*Таблица1[[#This Row],[CPU clocks ISD 1 iter]]</f>
        <v>20125</v>
      </c>
      <c r="AA57" s="5">
        <v>3775</v>
      </c>
      <c r="AB57" s="6" t="s">
        <v>441</v>
      </c>
      <c r="AC57" s="5">
        <v>8641</v>
      </c>
    </row>
    <row r="58" spans="2:29" x14ac:dyDescent="0.35">
      <c r="B58" s="3" t="s">
        <v>101</v>
      </c>
      <c r="C58" s="3" t="s">
        <v>102</v>
      </c>
      <c r="D58" s="3">
        <v>5</v>
      </c>
      <c r="E58" s="3">
        <v>8</v>
      </c>
      <c r="F58" s="3">
        <v>3</v>
      </c>
      <c r="G58" s="3">
        <v>32</v>
      </c>
      <c r="H58" s="3" t="s">
        <v>103</v>
      </c>
      <c r="I58" s="3">
        <v>26</v>
      </c>
      <c r="J58" s="3" t="s">
        <v>104</v>
      </c>
      <c r="K58" s="3">
        <v>673</v>
      </c>
      <c r="L58" s="3" t="s">
        <v>241</v>
      </c>
      <c r="M58" s="3">
        <v>50000</v>
      </c>
      <c r="N58" s="3">
        <v>2</v>
      </c>
      <c r="O58" s="4" t="s">
        <v>333</v>
      </c>
      <c r="P58" s="4" t="s">
        <v>334</v>
      </c>
      <c r="Q58" s="4" t="s">
        <v>335</v>
      </c>
      <c r="R58" s="3">
        <v>739</v>
      </c>
      <c r="S58" s="4" t="s">
        <v>384</v>
      </c>
      <c r="T58" s="4" t="s">
        <v>385</v>
      </c>
      <c r="U58" s="4" t="s">
        <v>386</v>
      </c>
      <c r="V58" s="3">
        <v>3827</v>
      </c>
      <c r="W58" s="3">
        <v>45288</v>
      </c>
      <c r="X58" s="3">
        <v>314</v>
      </c>
      <c r="Y58" s="3">
        <f>Таблица1[[#This Row],[CPU clocks decoder]]+Таблица1[[#This Row],[CPU clocks ISD 1 iter]]*Таблица1[[#This Row],[Кол-во итераций для DFR=10^(-9)]]</f>
        <v>277334</v>
      </c>
      <c r="Z58" s="3">
        <f>Таблица1[[#This Row],[CPU clocks decoder]]+Таблица1[[#This Row],[Кол-во итераций для DFR=10^(-9) теор.]]*Таблица1[[#This Row],[CPU clocks ISD 1 iter]]</f>
        <v>1246966</v>
      </c>
      <c r="AA58" s="3">
        <v>45974</v>
      </c>
      <c r="AB58" s="4" t="s">
        <v>442</v>
      </c>
      <c r="AC58" s="3">
        <v>45800</v>
      </c>
    </row>
    <row r="59" spans="2:29" x14ac:dyDescent="0.35">
      <c r="B59" s="3" t="s">
        <v>101</v>
      </c>
      <c r="C59" s="3" t="s">
        <v>102</v>
      </c>
      <c r="D59" s="3">
        <v>5</v>
      </c>
      <c r="E59" s="3">
        <v>8</v>
      </c>
      <c r="F59" s="3">
        <v>3</v>
      </c>
      <c r="G59" s="3">
        <v>32</v>
      </c>
      <c r="H59" s="3" t="s">
        <v>103</v>
      </c>
      <c r="I59" s="3">
        <v>27</v>
      </c>
      <c r="J59" s="3" t="s">
        <v>105</v>
      </c>
      <c r="K59" s="3">
        <v>673</v>
      </c>
      <c r="L59" s="3" t="s">
        <v>241</v>
      </c>
      <c r="M59" s="3">
        <v>50000</v>
      </c>
      <c r="N59" s="3">
        <v>2</v>
      </c>
      <c r="O59" s="4" t="s">
        <v>333</v>
      </c>
      <c r="P59" s="4" t="s">
        <v>336</v>
      </c>
      <c r="Q59" s="4" t="s">
        <v>337</v>
      </c>
      <c r="R59" s="3">
        <v>652</v>
      </c>
      <c r="S59" s="4" t="s">
        <v>384</v>
      </c>
      <c r="T59" s="4" t="s">
        <v>387</v>
      </c>
      <c r="U59" s="4" t="s">
        <v>388</v>
      </c>
      <c r="V59" s="3">
        <v>5088</v>
      </c>
      <c r="W59" s="3">
        <v>45792</v>
      </c>
      <c r="X59" s="3">
        <v>260</v>
      </c>
      <c r="Y59" s="3">
        <f>Таблица1[[#This Row],[CPU clocks decoder]]+Таблица1[[#This Row],[CPU clocks ISD 1 iter]]*Таблица1[[#This Row],[Кол-во итераций для DFR=10^(-9)]]</f>
        <v>215312</v>
      </c>
      <c r="Z59" s="3">
        <f>Таблица1[[#This Row],[CPU clocks decoder]]+Таблица1[[#This Row],[Кол-во итераций для DFR=10^(-9) теор.]]*Таблица1[[#This Row],[CPU clocks ISD 1 iter]]</f>
        <v>1368672</v>
      </c>
      <c r="AA59" s="3">
        <v>46133</v>
      </c>
      <c r="AB59" s="4" t="s">
        <v>442</v>
      </c>
      <c r="AC59" s="3">
        <v>45707</v>
      </c>
    </row>
    <row r="60" spans="2:29" x14ac:dyDescent="0.35">
      <c r="B60" s="3" t="s">
        <v>101</v>
      </c>
      <c r="C60" s="3" t="s">
        <v>102</v>
      </c>
      <c r="D60" s="3">
        <v>5</v>
      </c>
      <c r="E60" s="3">
        <v>8</v>
      </c>
      <c r="F60" s="3">
        <v>3</v>
      </c>
      <c r="G60" s="3">
        <v>32</v>
      </c>
      <c r="H60" s="3" t="s">
        <v>103</v>
      </c>
      <c r="I60" s="3">
        <v>28</v>
      </c>
      <c r="J60" s="3" t="s">
        <v>106</v>
      </c>
      <c r="K60" s="3">
        <v>673</v>
      </c>
      <c r="L60" s="3" t="s">
        <v>241</v>
      </c>
      <c r="M60" s="3">
        <v>50000</v>
      </c>
      <c r="N60" s="3">
        <v>2</v>
      </c>
      <c r="O60" s="4" t="s">
        <v>333</v>
      </c>
      <c r="P60" s="4" t="s">
        <v>338</v>
      </c>
      <c r="Q60" s="4" t="s">
        <v>339</v>
      </c>
      <c r="R60" s="3">
        <v>935</v>
      </c>
      <c r="S60" s="4" t="s">
        <v>384</v>
      </c>
      <c r="T60" s="4" t="s">
        <v>389</v>
      </c>
      <c r="U60" s="4" t="s">
        <v>390</v>
      </c>
      <c r="V60" s="3">
        <v>18011</v>
      </c>
      <c r="W60" s="3">
        <v>45173</v>
      </c>
      <c r="X60" s="3">
        <v>263</v>
      </c>
      <c r="Y60" s="3">
        <f>Таблица1[[#This Row],[CPU clocks decoder]]+Таблица1[[#This Row],[CPU clocks ISD 1 iter]]*Таблица1[[#This Row],[Кол-во итераций для DFR=10^(-9)]]</f>
        <v>291078</v>
      </c>
      <c r="Z60" s="3">
        <f>Таблица1[[#This Row],[CPU clocks decoder]]+Таблица1[[#This Row],[Кол-во итераций для DFR=10^(-9) теор.]]*Таблица1[[#This Row],[CPU clocks ISD 1 iter]]</f>
        <v>4782066</v>
      </c>
      <c r="AA60" s="3">
        <v>45476</v>
      </c>
      <c r="AB60" s="4" t="s">
        <v>442</v>
      </c>
      <c r="AC60" s="3">
        <v>45535</v>
      </c>
    </row>
    <row r="61" spans="2:29" x14ac:dyDescent="0.35">
      <c r="B61" s="3" t="s">
        <v>107</v>
      </c>
      <c r="C61" s="3" t="s">
        <v>108</v>
      </c>
      <c r="D61" s="3">
        <v>7</v>
      </c>
      <c r="E61" s="3">
        <v>7</v>
      </c>
      <c r="F61" s="3">
        <v>2</v>
      </c>
      <c r="G61" s="3">
        <v>128</v>
      </c>
      <c r="H61" s="3" t="s">
        <v>109</v>
      </c>
      <c r="I61" s="3">
        <v>64</v>
      </c>
      <c r="J61" s="3" t="s">
        <v>110</v>
      </c>
      <c r="K61" s="3">
        <v>1706</v>
      </c>
      <c r="L61" s="3" t="s">
        <v>111</v>
      </c>
      <c r="M61" s="3">
        <v>500000</v>
      </c>
      <c r="N61" s="3">
        <v>2</v>
      </c>
      <c r="O61" s="4" t="s">
        <v>183</v>
      </c>
      <c r="P61" s="4" t="s">
        <v>202</v>
      </c>
      <c r="Q61" s="4" t="s">
        <v>203</v>
      </c>
      <c r="R61" s="3">
        <v>296</v>
      </c>
      <c r="S61" s="4" t="s">
        <v>305</v>
      </c>
      <c r="T61" s="4" t="s">
        <v>391</v>
      </c>
      <c r="U61" s="4" t="s">
        <v>392</v>
      </c>
      <c r="V61" s="3">
        <v>346</v>
      </c>
      <c r="W61" s="3">
        <v>425</v>
      </c>
      <c r="X61" s="3">
        <v>207</v>
      </c>
      <c r="Y61" s="3">
        <f>Таблица1[[#This Row],[CPU clocks decoder]]+Таблица1[[#This Row],[CPU clocks ISD 1 iter]]*Таблица1[[#This Row],[Кол-во итераций для DFR=10^(-9)]]</f>
        <v>61697</v>
      </c>
      <c r="Z61" s="3">
        <f>Таблица1[[#This Row],[CPU clocks decoder]]+Таблица1[[#This Row],[Кол-во итераций для DFR=10^(-9) теор.]]*Таблица1[[#This Row],[CPU clocks ISD 1 iter]]</f>
        <v>72047</v>
      </c>
      <c r="AA61" s="3">
        <v>1782</v>
      </c>
      <c r="AB61" s="4" t="s">
        <v>437</v>
      </c>
      <c r="AC61" s="3">
        <v>8001</v>
      </c>
    </row>
    <row r="62" spans="2:29" x14ac:dyDescent="0.35">
      <c r="B62" s="3" t="s">
        <v>107</v>
      </c>
      <c r="C62" s="3" t="s">
        <v>108</v>
      </c>
      <c r="D62" s="3">
        <v>7</v>
      </c>
      <c r="E62" s="3">
        <v>7</v>
      </c>
      <c r="F62" s="3">
        <v>2</v>
      </c>
      <c r="G62" s="3">
        <v>128</v>
      </c>
      <c r="H62" s="3" t="s">
        <v>109</v>
      </c>
      <c r="I62" s="3">
        <v>65</v>
      </c>
      <c r="J62" s="3" t="s">
        <v>112</v>
      </c>
      <c r="K62" s="3">
        <v>1706</v>
      </c>
      <c r="L62" s="3" t="s">
        <v>111</v>
      </c>
      <c r="M62" s="3">
        <v>500000</v>
      </c>
      <c r="N62" s="3">
        <v>2</v>
      </c>
      <c r="O62" s="4" t="s">
        <v>183</v>
      </c>
      <c r="P62" s="4" t="s">
        <v>204</v>
      </c>
      <c r="Q62" s="4" t="s">
        <v>205</v>
      </c>
      <c r="R62" s="3">
        <v>127</v>
      </c>
      <c r="S62" s="4" t="s">
        <v>305</v>
      </c>
      <c r="T62" s="4" t="s">
        <v>393</v>
      </c>
      <c r="U62" s="4" t="s">
        <v>394</v>
      </c>
      <c r="V62" s="3">
        <v>152</v>
      </c>
      <c r="W62" s="3">
        <v>412</v>
      </c>
      <c r="X62" s="3">
        <v>206</v>
      </c>
      <c r="Y62" s="3">
        <f>Таблица1[[#This Row],[CPU clocks decoder]]+Таблица1[[#This Row],[CPU clocks ISD 1 iter]]*Таблица1[[#This Row],[Кол-во итераций для DFR=10^(-9)]]</f>
        <v>26574</v>
      </c>
      <c r="Z62" s="3">
        <f>Таблица1[[#This Row],[CPU clocks decoder]]+Таблица1[[#This Row],[Кол-во итераций для DFR=10^(-9) теор.]]*Таблица1[[#This Row],[CPU clocks ISD 1 iter]]</f>
        <v>31724</v>
      </c>
      <c r="AA62" s="3">
        <v>990</v>
      </c>
      <c r="AB62" s="4" t="s">
        <v>437</v>
      </c>
      <c r="AC62" s="3">
        <v>8001</v>
      </c>
    </row>
    <row r="63" spans="2:29" x14ac:dyDescent="0.35">
      <c r="B63" s="3" t="s">
        <v>107</v>
      </c>
      <c r="C63" s="3" t="s">
        <v>108</v>
      </c>
      <c r="D63" s="3">
        <v>7</v>
      </c>
      <c r="E63" s="3">
        <v>7</v>
      </c>
      <c r="F63" s="3">
        <v>2</v>
      </c>
      <c r="G63" s="3">
        <v>128</v>
      </c>
      <c r="H63" s="3" t="s">
        <v>109</v>
      </c>
      <c r="I63" s="3">
        <v>66</v>
      </c>
      <c r="J63" s="3" t="s">
        <v>113</v>
      </c>
      <c r="K63" s="3">
        <v>1706</v>
      </c>
      <c r="L63" s="3" t="s">
        <v>111</v>
      </c>
      <c r="M63" s="3">
        <v>500000</v>
      </c>
      <c r="N63" s="3">
        <v>2</v>
      </c>
      <c r="O63" s="4" t="s">
        <v>183</v>
      </c>
      <c r="P63" s="4" t="s">
        <v>206</v>
      </c>
      <c r="Q63" s="4" t="s">
        <v>207</v>
      </c>
      <c r="R63" s="3">
        <v>83</v>
      </c>
      <c r="S63" s="4" t="s">
        <v>305</v>
      </c>
      <c r="T63" s="4" t="s">
        <v>395</v>
      </c>
      <c r="U63" s="4" t="s">
        <v>396</v>
      </c>
      <c r="V63" s="3">
        <v>102</v>
      </c>
      <c r="W63" s="3">
        <v>418</v>
      </c>
      <c r="X63" s="3">
        <v>204</v>
      </c>
      <c r="Y63" s="3">
        <f>Таблица1[[#This Row],[CPU clocks decoder]]+Таблица1[[#This Row],[CPU clocks ISD 1 iter]]*Таблица1[[#This Row],[Кол-во итераций для DFR=10^(-9)]]</f>
        <v>17350</v>
      </c>
      <c r="Z63" s="3">
        <f>Таблица1[[#This Row],[CPU clocks decoder]]+Таблица1[[#This Row],[Кол-во итераций для DFR=10^(-9) теор.]]*Таблица1[[#This Row],[CPU clocks ISD 1 iter]]</f>
        <v>21226</v>
      </c>
      <c r="AA63" s="3">
        <v>789</v>
      </c>
      <c r="AB63" s="4" t="s">
        <v>437</v>
      </c>
      <c r="AC63" s="3">
        <v>8032</v>
      </c>
    </row>
    <row r="64" spans="2:29" x14ac:dyDescent="0.35">
      <c r="B64" s="3" t="s">
        <v>63</v>
      </c>
      <c r="C64" s="3" t="s">
        <v>114</v>
      </c>
      <c r="D64" s="3">
        <v>6</v>
      </c>
      <c r="E64" s="3">
        <v>8</v>
      </c>
      <c r="F64" s="3">
        <v>3</v>
      </c>
      <c r="G64" s="3">
        <v>64</v>
      </c>
      <c r="H64" s="3" t="s">
        <v>115</v>
      </c>
      <c r="I64" s="3">
        <v>42</v>
      </c>
      <c r="J64" s="3" t="s">
        <v>116</v>
      </c>
      <c r="K64" s="3">
        <v>1292</v>
      </c>
      <c r="L64" s="3" t="s">
        <v>117</v>
      </c>
      <c r="M64" s="3">
        <v>50000</v>
      </c>
      <c r="N64" s="3">
        <v>2</v>
      </c>
      <c r="O64" s="4" t="s">
        <v>148</v>
      </c>
      <c r="P64" s="4" t="s">
        <v>149</v>
      </c>
      <c r="Q64" s="4" t="s">
        <v>150</v>
      </c>
      <c r="R64" s="3">
        <v>494</v>
      </c>
      <c r="S64" s="4" t="s">
        <v>397</v>
      </c>
      <c r="T64" s="4" t="s">
        <v>398</v>
      </c>
      <c r="U64" s="4" t="s">
        <v>399</v>
      </c>
      <c r="V64" s="3">
        <v>941</v>
      </c>
      <c r="W64" s="3">
        <v>85186</v>
      </c>
      <c r="X64" s="3">
        <v>637</v>
      </c>
      <c r="Y64" s="3">
        <f>Таблица1[[#This Row],[CPU clocks decoder]]+Таблица1[[#This Row],[CPU clocks ISD 1 iter]]*Таблица1[[#This Row],[Кол-во итераций для DFR=10^(-9)]]</f>
        <v>399864</v>
      </c>
      <c r="Z64" s="3">
        <f>Таблица1[[#This Row],[CPU clocks decoder]]+Таблица1[[#This Row],[Кол-во итераций для DFR=10^(-9) теор.]]*Таблица1[[#This Row],[CPU clocks ISD 1 iter]]</f>
        <v>684603</v>
      </c>
      <c r="AA64" s="3">
        <v>88288</v>
      </c>
      <c r="AB64" s="4" t="s">
        <v>443</v>
      </c>
      <c r="AC64" s="3">
        <v>81084</v>
      </c>
    </row>
    <row r="65" spans="2:29" x14ac:dyDescent="0.35">
      <c r="B65" s="3" t="s">
        <v>63</v>
      </c>
      <c r="C65" s="3" t="s">
        <v>114</v>
      </c>
      <c r="D65" s="3">
        <v>6</v>
      </c>
      <c r="E65" s="3">
        <v>8</v>
      </c>
      <c r="F65" s="3">
        <v>3</v>
      </c>
      <c r="G65" s="3">
        <v>64</v>
      </c>
      <c r="H65" s="3" t="s">
        <v>115</v>
      </c>
      <c r="I65" s="3">
        <v>43</v>
      </c>
      <c r="J65" s="3" t="s">
        <v>118</v>
      </c>
      <c r="K65" s="3">
        <v>1292</v>
      </c>
      <c r="L65" s="3" t="s">
        <v>117</v>
      </c>
      <c r="M65" s="3">
        <v>50000</v>
      </c>
      <c r="N65" s="3">
        <v>2</v>
      </c>
      <c r="O65" s="4" t="s">
        <v>148</v>
      </c>
      <c r="P65" s="4" t="s">
        <v>151</v>
      </c>
      <c r="Q65" s="4" t="s">
        <v>152</v>
      </c>
      <c r="R65" s="3">
        <v>248</v>
      </c>
      <c r="S65" s="4" t="s">
        <v>397</v>
      </c>
      <c r="T65" s="4" t="s">
        <v>400</v>
      </c>
      <c r="U65" s="4" t="s">
        <v>401</v>
      </c>
      <c r="V65" s="3">
        <v>508</v>
      </c>
      <c r="W65" s="3">
        <v>85381</v>
      </c>
      <c r="X65" s="3">
        <v>637</v>
      </c>
      <c r="Y65" s="3">
        <f>Таблица1[[#This Row],[CPU clocks decoder]]+Таблица1[[#This Row],[CPU clocks ISD 1 iter]]*Таблица1[[#This Row],[Кол-во итераций для DFR=10^(-9)]]</f>
        <v>243357</v>
      </c>
      <c r="Z65" s="3">
        <f>Таблица1[[#This Row],[CPU clocks decoder]]+Таблица1[[#This Row],[Кол-во итераций для DFR=10^(-9) теор.]]*Таблица1[[#This Row],[CPU clocks ISD 1 iter]]</f>
        <v>408977</v>
      </c>
      <c r="AA65" s="3">
        <v>86819</v>
      </c>
      <c r="AB65" s="4" t="s">
        <v>443</v>
      </c>
      <c r="AC65" s="3">
        <v>80772</v>
      </c>
    </row>
    <row r="66" spans="2:29" x14ac:dyDescent="0.35">
      <c r="B66" s="3" t="s">
        <v>63</v>
      </c>
      <c r="C66" s="3" t="s">
        <v>114</v>
      </c>
      <c r="D66" s="3">
        <v>6</v>
      </c>
      <c r="E66" s="3">
        <v>8</v>
      </c>
      <c r="F66" s="3">
        <v>3</v>
      </c>
      <c r="G66" s="3">
        <v>64</v>
      </c>
      <c r="H66" s="3" t="s">
        <v>115</v>
      </c>
      <c r="I66" s="3">
        <v>44</v>
      </c>
      <c r="J66" s="3" t="s">
        <v>99</v>
      </c>
      <c r="K66" s="3">
        <v>1292</v>
      </c>
      <c r="L66" s="3" t="s">
        <v>117</v>
      </c>
      <c r="M66" s="3">
        <v>50000</v>
      </c>
      <c r="N66" s="3">
        <v>2</v>
      </c>
      <c r="O66" s="4" t="s">
        <v>148</v>
      </c>
      <c r="P66" s="4" t="s">
        <v>153</v>
      </c>
      <c r="Q66" s="4" t="s">
        <v>154</v>
      </c>
      <c r="R66" s="3">
        <v>185</v>
      </c>
      <c r="S66" s="4" t="s">
        <v>397</v>
      </c>
      <c r="T66" s="4" t="s">
        <v>402</v>
      </c>
      <c r="U66" s="4" t="s">
        <v>403</v>
      </c>
      <c r="V66" s="3">
        <v>407</v>
      </c>
      <c r="W66" s="3">
        <v>85451</v>
      </c>
      <c r="X66" s="3">
        <v>635</v>
      </c>
      <c r="Y66" s="3">
        <f>Таблица1[[#This Row],[CPU clocks decoder]]+Таблица1[[#This Row],[CPU clocks ISD 1 iter]]*Таблица1[[#This Row],[Кол-во итераций для DFR=10^(-9)]]</f>
        <v>202926</v>
      </c>
      <c r="Z66" s="3">
        <f>Таблица1[[#This Row],[CPU clocks decoder]]+Таблица1[[#This Row],[Кол-во итераций для DFR=10^(-9) теор.]]*Таблица1[[#This Row],[CPU clocks ISD 1 iter]]</f>
        <v>343896</v>
      </c>
      <c r="AA66" s="3">
        <v>86428</v>
      </c>
      <c r="AB66" s="4" t="s">
        <v>443</v>
      </c>
      <c r="AC66" s="3">
        <v>80866</v>
      </c>
    </row>
    <row r="67" spans="2:29" x14ac:dyDescent="0.35">
      <c r="B67" s="3" t="s">
        <v>119</v>
      </c>
      <c r="C67" s="3" t="s">
        <v>120</v>
      </c>
      <c r="D67" s="3">
        <v>7</v>
      </c>
      <c r="E67" s="3">
        <v>7</v>
      </c>
      <c r="F67" s="3">
        <v>2</v>
      </c>
      <c r="G67" s="3">
        <v>128</v>
      </c>
      <c r="H67" s="3" t="s">
        <v>121</v>
      </c>
      <c r="I67" s="3">
        <v>120</v>
      </c>
      <c r="J67" s="3" t="s">
        <v>122</v>
      </c>
      <c r="K67" s="3">
        <v>1706</v>
      </c>
      <c r="L67" s="3" t="s">
        <v>123</v>
      </c>
      <c r="M67" s="3">
        <v>500000</v>
      </c>
      <c r="N67" s="3">
        <v>2</v>
      </c>
      <c r="O67" s="4" t="s">
        <v>183</v>
      </c>
      <c r="P67" s="4" t="s">
        <v>208</v>
      </c>
      <c r="Q67" s="4" t="s">
        <v>209</v>
      </c>
      <c r="R67" s="3">
        <v>9391</v>
      </c>
      <c r="S67" s="4" t="s">
        <v>305</v>
      </c>
      <c r="T67" s="4" t="s">
        <v>404</v>
      </c>
      <c r="U67" s="4" t="s">
        <v>405</v>
      </c>
      <c r="V67" s="3">
        <v>329479</v>
      </c>
      <c r="W67" s="3">
        <v>431</v>
      </c>
      <c r="X67" s="3">
        <v>385</v>
      </c>
      <c r="Y67" s="3">
        <f>Таблица1[[#This Row],[CPU clocks decoder]]+Таблица1[[#This Row],[CPU clocks ISD 1 iter]]*Таблица1[[#This Row],[Кол-во итераций для DFR=10^(-9)]]</f>
        <v>3615966</v>
      </c>
      <c r="Z67" s="3">
        <f>Таблица1[[#This Row],[CPU clocks decoder]]+Таблица1[[#This Row],[Кол-во итераций для DFR=10^(-9) теор.]]*Таблица1[[#This Row],[CPU clocks ISD 1 iter]]</f>
        <v>126849846</v>
      </c>
      <c r="AA67" s="3">
        <v>1785</v>
      </c>
      <c r="AB67" s="4" t="s">
        <v>444</v>
      </c>
      <c r="AC67" s="3">
        <v>1233434</v>
      </c>
    </row>
    <row r="68" spans="2:29" x14ac:dyDescent="0.35">
      <c r="B68" s="3" t="s">
        <v>119</v>
      </c>
      <c r="C68" s="3" t="s">
        <v>120</v>
      </c>
      <c r="D68" s="3">
        <v>7</v>
      </c>
      <c r="E68" s="3">
        <v>7</v>
      </c>
      <c r="F68" s="3">
        <v>2</v>
      </c>
      <c r="G68" s="3">
        <v>128</v>
      </c>
      <c r="H68" s="3" t="s">
        <v>121</v>
      </c>
      <c r="I68" s="3">
        <v>121</v>
      </c>
      <c r="J68" s="3" t="s">
        <v>124</v>
      </c>
      <c r="K68" s="3">
        <v>1706</v>
      </c>
      <c r="L68" s="3" t="s">
        <v>123</v>
      </c>
      <c r="M68" s="3">
        <v>500000</v>
      </c>
      <c r="N68" s="3">
        <v>2</v>
      </c>
      <c r="O68" s="4" t="s">
        <v>183</v>
      </c>
      <c r="P68" s="4" t="s">
        <v>210</v>
      </c>
      <c r="Q68" s="4" t="s">
        <v>211</v>
      </c>
      <c r="R68" s="3">
        <v>6509</v>
      </c>
      <c r="S68" s="4" t="s">
        <v>305</v>
      </c>
      <c r="T68" s="4" t="s">
        <v>413</v>
      </c>
      <c r="U68" s="4" t="s">
        <v>414</v>
      </c>
      <c r="V68" s="3">
        <v>342659</v>
      </c>
      <c r="W68" s="3">
        <v>429</v>
      </c>
      <c r="X68" s="3">
        <v>386</v>
      </c>
      <c r="Y68" s="3">
        <f>Таблица1[[#This Row],[CPU clocks decoder]]+Таблица1[[#This Row],[CPU clocks ISD 1 iter]]*Таблица1[[#This Row],[Кол-во итераций для DFR=10^(-9)]]</f>
        <v>2512903</v>
      </c>
      <c r="Z68" s="3">
        <f>Таблица1[[#This Row],[CPU clocks decoder]]+Таблица1[[#This Row],[Кол-во итераций для DFR=10^(-9) теор.]]*Таблица1[[#This Row],[CPU clocks ISD 1 iter]]</f>
        <v>132266803</v>
      </c>
      <c r="AA68" s="3">
        <v>1162</v>
      </c>
      <c r="AB68" s="4" t="s">
        <v>444</v>
      </c>
      <c r="AC68" s="3">
        <v>1225323</v>
      </c>
    </row>
    <row r="69" spans="2:29" x14ac:dyDescent="0.35">
      <c r="B69" s="3" t="s">
        <v>119</v>
      </c>
      <c r="C69" s="3" t="s">
        <v>120</v>
      </c>
      <c r="D69" s="3">
        <v>7</v>
      </c>
      <c r="E69" s="3">
        <v>7</v>
      </c>
      <c r="F69" s="3">
        <v>2</v>
      </c>
      <c r="G69" s="3">
        <v>128</v>
      </c>
      <c r="H69" s="3" t="s">
        <v>121</v>
      </c>
      <c r="I69" s="3">
        <v>122</v>
      </c>
      <c r="J69" s="3" t="s">
        <v>125</v>
      </c>
      <c r="K69" s="3">
        <v>1706</v>
      </c>
      <c r="L69" s="3" t="s">
        <v>123</v>
      </c>
      <c r="M69" s="3">
        <v>500000</v>
      </c>
      <c r="N69" s="3">
        <v>2</v>
      </c>
      <c r="O69" s="4" t="s">
        <v>183</v>
      </c>
      <c r="P69" s="4" t="s">
        <v>212</v>
      </c>
      <c r="Q69" s="4" t="s">
        <v>213</v>
      </c>
      <c r="R69" s="3">
        <v>7152</v>
      </c>
      <c r="S69" s="4" t="s">
        <v>305</v>
      </c>
      <c r="T69" s="4" t="s">
        <v>418</v>
      </c>
      <c r="U69" s="4" t="s">
        <v>419</v>
      </c>
      <c r="V69" s="3">
        <v>627527</v>
      </c>
      <c r="W69" s="3">
        <v>429</v>
      </c>
      <c r="X69" s="3">
        <v>381</v>
      </c>
      <c r="Y69" s="3">
        <f>Таблица1[[#This Row],[CPU clocks decoder]]+Таблица1[[#This Row],[CPU clocks ISD 1 iter]]*Таблица1[[#This Row],[Кол-во итераций для DFR=10^(-9)]]</f>
        <v>2725341</v>
      </c>
      <c r="Z69" s="3">
        <f>Таблица1[[#This Row],[CPU clocks decoder]]+Таблица1[[#This Row],[Кол-во итераций для DFR=10^(-9) теор.]]*Таблица1[[#This Row],[CPU clocks ISD 1 iter]]</f>
        <v>239088216</v>
      </c>
      <c r="AA69" s="3">
        <v>1026</v>
      </c>
      <c r="AB69" s="4" t="s">
        <v>444</v>
      </c>
      <c r="AC69" s="3">
        <v>1228699</v>
      </c>
    </row>
    <row r="70" spans="2:29" x14ac:dyDescent="0.35">
      <c r="B70" s="5" t="s">
        <v>45</v>
      </c>
      <c r="C70" s="5" t="s">
        <v>126</v>
      </c>
      <c r="D70" s="5">
        <v>6</v>
      </c>
      <c r="E70" s="5">
        <v>9</v>
      </c>
      <c r="F70" s="5">
        <v>2</v>
      </c>
      <c r="G70" s="5">
        <v>64</v>
      </c>
      <c r="H70" s="5" t="s">
        <v>127</v>
      </c>
      <c r="I70" s="5">
        <v>57</v>
      </c>
      <c r="J70" s="5" t="s">
        <v>128</v>
      </c>
      <c r="K70" s="5">
        <v>7279</v>
      </c>
      <c r="L70" s="5" t="s">
        <v>129</v>
      </c>
      <c r="M70" s="5">
        <v>500000</v>
      </c>
      <c r="N70" s="5">
        <v>1</v>
      </c>
      <c r="O70" s="6" t="s">
        <v>214</v>
      </c>
      <c r="P70" s="6" t="s">
        <v>215</v>
      </c>
      <c r="Q70" s="6" t="s">
        <v>216</v>
      </c>
      <c r="R70" s="5">
        <v>223</v>
      </c>
      <c r="S70" s="6" t="s">
        <v>358</v>
      </c>
      <c r="T70" s="6" t="s">
        <v>359</v>
      </c>
      <c r="U70" s="6" t="s">
        <v>360</v>
      </c>
      <c r="V70" s="5">
        <v>229</v>
      </c>
      <c r="W70" s="5">
        <v>3416</v>
      </c>
      <c r="X70" s="5">
        <v>226</v>
      </c>
      <c r="Y70" s="5">
        <f>Таблица1[[#This Row],[CPU clocks decoder]]+Таблица1[[#This Row],[CPU clocks ISD 1 iter]]*Таблица1[[#This Row],[Кол-во итераций для DFR=10^(-9)]]</f>
        <v>53814</v>
      </c>
      <c r="Z70" s="5">
        <f>Таблица1[[#This Row],[CPU clocks decoder]]+Таблица1[[#This Row],[Кол-во итераций для DFR=10^(-9) теор.]]*Таблица1[[#This Row],[CPU clocks ISD 1 iter]]</f>
        <v>55170</v>
      </c>
      <c r="AA70" s="5">
        <v>3957</v>
      </c>
      <c r="AB70" s="6" t="s">
        <v>445</v>
      </c>
      <c r="AC70" s="5">
        <v>41893</v>
      </c>
    </row>
    <row r="71" spans="2:29" x14ac:dyDescent="0.35">
      <c r="B71" s="5" t="s">
        <v>45</v>
      </c>
      <c r="C71" s="5" t="s">
        <v>126</v>
      </c>
      <c r="D71" s="5">
        <v>6</v>
      </c>
      <c r="E71" s="5">
        <v>9</v>
      </c>
      <c r="F71" s="5">
        <v>2</v>
      </c>
      <c r="G71" s="5">
        <v>64</v>
      </c>
      <c r="H71" s="5" t="s">
        <v>127</v>
      </c>
      <c r="I71" s="5">
        <v>58</v>
      </c>
      <c r="J71" s="5" t="s">
        <v>130</v>
      </c>
      <c r="K71" s="5">
        <v>7279</v>
      </c>
      <c r="L71" s="5" t="s">
        <v>129</v>
      </c>
      <c r="M71" s="5">
        <v>500000</v>
      </c>
      <c r="N71" s="5">
        <v>1</v>
      </c>
      <c r="O71" s="6" t="s">
        <v>214</v>
      </c>
      <c r="P71" s="6" t="s">
        <v>217</v>
      </c>
      <c r="Q71" s="6" t="s">
        <v>218</v>
      </c>
      <c r="R71" s="5">
        <v>144</v>
      </c>
      <c r="S71" s="6" t="s">
        <v>358</v>
      </c>
      <c r="T71" s="6" t="s">
        <v>361</v>
      </c>
      <c r="U71" s="6" t="s">
        <v>362</v>
      </c>
      <c r="V71" s="5">
        <v>149</v>
      </c>
      <c r="W71" s="5">
        <v>3430</v>
      </c>
      <c r="X71" s="5">
        <v>224</v>
      </c>
      <c r="Y71" s="5">
        <f>Таблица1[[#This Row],[CPU clocks decoder]]+Таблица1[[#This Row],[CPU clocks ISD 1 iter]]*Таблица1[[#This Row],[Кол-во итераций для DFR=10^(-9)]]</f>
        <v>35686</v>
      </c>
      <c r="Z71" s="5">
        <f>Таблица1[[#This Row],[CPU clocks decoder]]+Таблица1[[#This Row],[Кол-во итераций для DFR=10^(-9) теор.]]*Таблица1[[#This Row],[CPU clocks ISD 1 iter]]</f>
        <v>36806</v>
      </c>
      <c r="AA71" s="5">
        <v>3731</v>
      </c>
      <c r="AB71" s="6" t="s">
        <v>445</v>
      </c>
      <c r="AC71" s="5">
        <v>42597</v>
      </c>
    </row>
    <row r="72" spans="2:29" x14ac:dyDescent="0.35">
      <c r="B72" s="5" t="s">
        <v>45</v>
      </c>
      <c r="C72" s="5" t="s">
        <v>126</v>
      </c>
      <c r="D72" s="5">
        <v>6</v>
      </c>
      <c r="E72" s="5">
        <v>9</v>
      </c>
      <c r="F72" s="5">
        <v>2</v>
      </c>
      <c r="G72" s="5">
        <v>64</v>
      </c>
      <c r="H72" s="5" t="s">
        <v>127</v>
      </c>
      <c r="I72" s="5">
        <v>59</v>
      </c>
      <c r="J72" s="5" t="s">
        <v>131</v>
      </c>
      <c r="K72" s="5">
        <v>7279</v>
      </c>
      <c r="L72" s="5" t="s">
        <v>129</v>
      </c>
      <c r="M72" s="5">
        <v>500000</v>
      </c>
      <c r="N72" s="5">
        <v>1</v>
      </c>
      <c r="O72" s="6" t="s">
        <v>214</v>
      </c>
      <c r="P72" s="6" t="s">
        <v>219</v>
      </c>
      <c r="Q72" s="6" t="s">
        <v>220</v>
      </c>
      <c r="R72" s="5">
        <v>141</v>
      </c>
      <c r="S72" s="6" t="s">
        <v>358</v>
      </c>
      <c r="T72" s="6" t="s">
        <v>363</v>
      </c>
      <c r="U72" s="6" t="s">
        <v>364</v>
      </c>
      <c r="V72" s="5">
        <v>146</v>
      </c>
      <c r="W72" s="5">
        <v>3440</v>
      </c>
      <c r="X72" s="5">
        <v>228</v>
      </c>
      <c r="Y72" s="5">
        <f>Таблица1[[#This Row],[CPU clocks decoder]]+Таблица1[[#This Row],[CPU clocks ISD 1 iter]]*Таблица1[[#This Row],[Кол-во итераций для DFR=10^(-9)]]</f>
        <v>35588</v>
      </c>
      <c r="Z72" s="5">
        <f>Таблица1[[#This Row],[CPU clocks decoder]]+Таблица1[[#This Row],[Кол-во итераций для DFR=10^(-9) теор.]]*Таблица1[[#This Row],[CPU clocks ISD 1 iter]]</f>
        <v>36728</v>
      </c>
      <c r="AA72" s="5">
        <v>3689</v>
      </c>
      <c r="AB72" s="6" t="s">
        <v>445</v>
      </c>
      <c r="AC72" s="5">
        <v>41972</v>
      </c>
    </row>
    <row r="73" spans="2:29" x14ac:dyDescent="0.35">
      <c r="B73" s="3" t="s">
        <v>101</v>
      </c>
      <c r="C73" s="3" t="s">
        <v>132</v>
      </c>
      <c r="D73" s="3">
        <v>6</v>
      </c>
      <c r="E73" s="3">
        <v>8</v>
      </c>
      <c r="F73" s="3">
        <v>3</v>
      </c>
      <c r="G73" s="3">
        <v>64</v>
      </c>
      <c r="H73" s="3" t="s">
        <v>133</v>
      </c>
      <c r="I73" s="3">
        <v>42</v>
      </c>
      <c r="J73" s="3" t="s">
        <v>134</v>
      </c>
      <c r="K73" s="3">
        <v>1083</v>
      </c>
      <c r="L73" s="3" t="s">
        <v>135</v>
      </c>
      <c r="M73" s="3">
        <v>50000</v>
      </c>
      <c r="N73" s="3">
        <v>1</v>
      </c>
      <c r="O73" s="4" t="s">
        <v>277</v>
      </c>
      <c r="P73" s="4" t="s">
        <v>278</v>
      </c>
      <c r="Q73" s="4" t="s">
        <v>279</v>
      </c>
      <c r="R73" s="3">
        <v>187</v>
      </c>
      <c r="S73" s="4" t="s">
        <v>351</v>
      </c>
      <c r="T73" s="4" t="s">
        <v>352</v>
      </c>
      <c r="U73" s="4" t="s">
        <v>353</v>
      </c>
      <c r="V73" s="3">
        <v>255</v>
      </c>
      <c r="W73" s="3">
        <v>81554</v>
      </c>
      <c r="X73" s="3">
        <v>1151</v>
      </c>
      <c r="Y73" s="3">
        <f>Таблица1[[#This Row],[CPU clocks decoder]]+Таблица1[[#This Row],[CPU clocks ISD 1 iter]]*Таблица1[[#This Row],[Кол-во итераций для DFR=10^(-9)]]</f>
        <v>296791</v>
      </c>
      <c r="Z73" s="3">
        <f>Таблица1[[#This Row],[CPU clocks decoder]]+Таблица1[[#This Row],[Кол-во итераций для DFR=10^(-9) теор.]]*Таблица1[[#This Row],[CPU clocks ISD 1 iter]]</f>
        <v>375059</v>
      </c>
      <c r="AA73" s="3">
        <v>87152</v>
      </c>
      <c r="AB73" s="4" t="s">
        <v>446</v>
      </c>
      <c r="AC73" s="3">
        <v>80396</v>
      </c>
    </row>
    <row r="74" spans="2:29" x14ac:dyDescent="0.35">
      <c r="B74" s="3" t="s">
        <v>101</v>
      </c>
      <c r="C74" s="3" t="s">
        <v>132</v>
      </c>
      <c r="D74" s="3">
        <v>6</v>
      </c>
      <c r="E74" s="3">
        <v>8</v>
      </c>
      <c r="F74" s="3">
        <v>3</v>
      </c>
      <c r="G74" s="3">
        <v>64</v>
      </c>
      <c r="H74" s="3" t="s">
        <v>133</v>
      </c>
      <c r="I74" s="3">
        <v>43</v>
      </c>
      <c r="J74" s="3" t="s">
        <v>136</v>
      </c>
      <c r="K74" s="3">
        <v>1083</v>
      </c>
      <c r="L74" s="3" t="s">
        <v>135</v>
      </c>
      <c r="M74" s="3">
        <v>50000</v>
      </c>
      <c r="N74" s="3">
        <v>1</v>
      </c>
      <c r="O74" s="4" t="s">
        <v>277</v>
      </c>
      <c r="P74" s="4" t="s">
        <v>280</v>
      </c>
      <c r="Q74" s="4" t="s">
        <v>281</v>
      </c>
      <c r="R74" s="3">
        <v>84</v>
      </c>
      <c r="S74" s="4" t="s">
        <v>351</v>
      </c>
      <c r="T74" s="4" t="s">
        <v>354</v>
      </c>
      <c r="U74" s="4" t="s">
        <v>355</v>
      </c>
      <c r="V74" s="3">
        <v>125</v>
      </c>
      <c r="W74" s="3">
        <v>82954</v>
      </c>
      <c r="X74" s="3">
        <v>1153</v>
      </c>
      <c r="Y74" s="3">
        <f>Таблица1[[#This Row],[CPU clocks decoder]]+Таблица1[[#This Row],[CPU clocks ISD 1 iter]]*Таблица1[[#This Row],[Кол-во итераций для DFR=10^(-9)]]</f>
        <v>179806</v>
      </c>
      <c r="Z74" s="3">
        <f>Таблица1[[#This Row],[CPU clocks decoder]]+Таблица1[[#This Row],[Кол-во итераций для DFR=10^(-9) теор.]]*Таблица1[[#This Row],[CPU clocks ISD 1 iter]]</f>
        <v>227079</v>
      </c>
      <c r="AA74" s="3">
        <v>85487</v>
      </c>
      <c r="AB74" s="4" t="s">
        <v>446</v>
      </c>
      <c r="AC74" s="3">
        <v>80599</v>
      </c>
    </row>
    <row r="75" spans="2:29" x14ac:dyDescent="0.35">
      <c r="B75" s="3" t="s">
        <v>101</v>
      </c>
      <c r="C75" s="3" t="s">
        <v>132</v>
      </c>
      <c r="D75" s="3">
        <v>6</v>
      </c>
      <c r="E75" s="3">
        <v>8</v>
      </c>
      <c r="F75" s="3">
        <v>3</v>
      </c>
      <c r="G75" s="3">
        <v>64</v>
      </c>
      <c r="H75" s="3" t="s">
        <v>133</v>
      </c>
      <c r="I75" s="3">
        <v>44</v>
      </c>
      <c r="J75" s="3" t="s">
        <v>137</v>
      </c>
      <c r="K75" s="3">
        <v>1083</v>
      </c>
      <c r="L75" s="3" t="s">
        <v>135</v>
      </c>
      <c r="M75" s="3">
        <v>50000</v>
      </c>
      <c r="N75" s="3">
        <v>1</v>
      </c>
      <c r="O75" s="4" t="s">
        <v>277</v>
      </c>
      <c r="P75" s="4" t="s">
        <v>282</v>
      </c>
      <c r="Q75" s="4" t="s">
        <v>283</v>
      </c>
      <c r="R75" s="3">
        <v>59</v>
      </c>
      <c r="S75" s="4" t="s">
        <v>351</v>
      </c>
      <c r="T75" s="4" t="s">
        <v>356</v>
      </c>
      <c r="U75" s="4" t="s">
        <v>357</v>
      </c>
      <c r="V75" s="3">
        <v>95</v>
      </c>
      <c r="W75" s="3">
        <v>82074</v>
      </c>
      <c r="X75" s="3">
        <v>1150</v>
      </c>
      <c r="Y75" s="3">
        <f>Таблица1[[#This Row],[CPU clocks decoder]]+Таблица1[[#This Row],[CPU clocks ISD 1 iter]]*Таблица1[[#This Row],[Кол-во итераций для DFR=10^(-9)]]</f>
        <v>149924</v>
      </c>
      <c r="Z75" s="3">
        <f>Таблица1[[#This Row],[CPU clocks decoder]]+Таблица1[[#This Row],[Кол-во итераций для DFR=10^(-9) теор.]]*Таблица1[[#This Row],[CPU clocks ISD 1 iter]]</f>
        <v>191324</v>
      </c>
      <c r="AA75" s="3">
        <v>83831</v>
      </c>
      <c r="AB75" s="4" t="s">
        <v>446</v>
      </c>
      <c r="AC75" s="3">
        <v>80850</v>
      </c>
    </row>
    <row r="76" spans="2:29" x14ac:dyDescent="0.35">
      <c r="T76" s="4"/>
      <c r="U76" s="4"/>
      <c r="V76" s="4"/>
    </row>
  </sheetData>
  <phoneticPr fontId="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Евгений</cp:lastModifiedBy>
  <dcterms:created xsi:type="dcterms:W3CDTF">2024-01-08T13:45:11Z</dcterms:created>
  <dcterms:modified xsi:type="dcterms:W3CDTF">2024-04-08T07:05:54Z</dcterms:modified>
</cp:coreProperties>
</file>